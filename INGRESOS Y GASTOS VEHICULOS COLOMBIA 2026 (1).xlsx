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showHorizontalScroll="0" showVerticalScroll="0" showSheetTabs="0" xWindow="0" yWindow="0" windowWidth="23040" windowHeight="8976"/>
  </bookViews>
  <sheets>
    <sheet name="TOTALIZADO" sheetId="1" r:id="rId1"/>
    <sheet name="AUDI Q3" sheetId="2" r:id="rId2"/>
    <sheet name="MERCEDES E200" sheetId="10" r:id="rId3"/>
    <sheet name="MERCEDES GLE450" sheetId="11" r:id="rId4"/>
    <sheet name="AUDIQ8" sheetId="12" r:id="rId5"/>
    <sheet name="MERCEDES C200C" sheetId="13" r:id="rId6"/>
    <sheet name="TOYOTA XL" sheetId="15" r:id="rId7"/>
    <sheet name="TOTAL INGRESOS Y GASTOS" sheetId="8" r:id="rId8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4iB9Gb1xPj9239eJFUny/2atdlLUtV1MuQ1cQgUC2pE="/>
    </ext>
  </extLst>
</workbook>
</file>

<file path=xl/calcChain.xml><?xml version="1.0" encoding="utf-8"?>
<calcChain xmlns="http://schemas.openxmlformats.org/spreadsheetml/2006/main">
  <c r="F90" i="8" l="1"/>
  <c r="E90" i="8"/>
  <c r="Q8" i="2"/>
  <c r="C27" i="1" l="1"/>
  <c r="C44" i="1"/>
  <c r="C9" i="1"/>
  <c r="D44" i="1"/>
  <c r="G90" i="8" l="1"/>
  <c r="G94" i="8" l="1"/>
  <c r="G93" i="8"/>
  <c r="G92" i="8"/>
</calcChain>
</file>

<file path=xl/sharedStrings.xml><?xml version="1.0" encoding="utf-8"?>
<sst xmlns="http://schemas.openxmlformats.org/spreadsheetml/2006/main" count="2015" uniqueCount="559">
  <si>
    <t>AUDI Q3</t>
  </si>
  <si>
    <t>MES</t>
  </si>
  <si>
    <t>INGRESOS</t>
  </si>
  <si>
    <t>GASTOS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</si>
  <si>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</si>
  <si>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</si>
  <si>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</si>
  <si>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</si>
  <si>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</si>
  <si>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</si>
  <si>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</si>
  <si>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</si>
  <si>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MERCEDES E200</t>
  </si>
  <si>
    <t>MERCEDES C200 Compartido</t>
  </si>
  <si>
    <t>MERCEDES GLE 450</t>
  </si>
  <si>
    <t xml:space="preserve">FECHA DE COMPRA </t>
  </si>
  <si>
    <t>FECHA</t>
  </si>
  <si>
    <t>✅</t>
  </si>
  <si>
    <t>❌</t>
  </si>
  <si>
    <t>NOMBRE</t>
  </si>
  <si>
    <t>DIAS</t>
  </si>
  <si>
    <t>NOTAS</t>
  </si>
  <si>
    <t>POR DIA</t>
  </si>
  <si>
    <t>TOTAL INGRESO</t>
  </si>
  <si>
    <t>EGRESOS</t>
  </si>
  <si>
    <t>SALDO EN CAJA</t>
  </si>
  <si>
    <t>LINK DE UBICACIÓN</t>
  </si>
  <si>
    <t>AUDI Q8</t>
  </si>
  <si>
    <t>REPORTE DE VEHICULOS EN RENTA</t>
  </si>
  <si>
    <t>VEHICULO</t>
  </si>
  <si>
    <t>TOTALES</t>
  </si>
  <si>
    <t>VALERIA CARDOZA - UTILIDAD 35%</t>
  </si>
  <si>
    <t>PABLO PIÑA - UTILIDAD 35%</t>
  </si>
  <si>
    <t>PORCENTAJE DESTINADO PARA ABONAR A LOS GASTOS DEL NEGOCIO EN CANADA 30%</t>
  </si>
  <si>
    <t>ENERO</t>
  </si>
  <si>
    <t xml:space="preserve">FEBRERO </t>
  </si>
  <si>
    <t>MARZO</t>
  </si>
  <si>
    <t>ABRIL</t>
  </si>
  <si>
    <t xml:space="preserve">REPORTE DE VEHICULOS EN RENTA AUDI Q3 ENERO </t>
  </si>
  <si>
    <t xml:space="preserve">REPORTE DE VEHICULOS EN RENTA MERCEDES E 200 ENERO </t>
  </si>
  <si>
    <t>ALQUILADO INFORME 114.145</t>
  </si>
  <si>
    <t>NO ALQUILADO KILOMETRAJE INFORME 0,0</t>
  </si>
  <si>
    <t>ALQUILADO KILOMETRAJE INFORME 126.608</t>
  </si>
  <si>
    <t>ALQUILADO KILOMETRAJE DE INFORME 162.858</t>
  </si>
  <si>
    <t>NO ALQUILADO KILOMETRAJE INFORME 51.187</t>
  </si>
  <si>
    <t>NO ALQUILADO INFORME 63.109</t>
  </si>
  <si>
    <t>NO ALQUILADO INFORME 14.335</t>
  </si>
  <si>
    <t>NO ALQUILADO INFORME  0.0</t>
  </si>
  <si>
    <t>NO ALQUILADO KILOMETRAJE INFORME 6.869</t>
  </si>
  <si>
    <t xml:space="preserve"> NO ALQUILADO KILOMETRAJE DE INFORME 78.921</t>
  </si>
  <si>
    <t>ALQUILADO INFORME 122.661</t>
  </si>
  <si>
    <t>NO ALQUILADO INFORME 27.409</t>
  </si>
  <si>
    <t>NO ALQUILADO KILOMETRAJE INFORME 0</t>
  </si>
  <si>
    <t xml:space="preserve"> NO ALQUILADO KILOMETRAJE DE INFORME 0</t>
  </si>
  <si>
    <t>NO ALQUILADO KILOMETRAJE INFORME 18.18</t>
  </si>
  <si>
    <t xml:space="preserve"> ALQUILADO KILOMETRAJE DE INFORME 109.195</t>
  </si>
  <si>
    <t xml:space="preserve"> ALQUILADO KILOMETRAJE DE INFORME 87.281</t>
  </si>
  <si>
    <t>NO ALQUILADO KILOMETRAJE INFORME 7371</t>
  </si>
  <si>
    <t>ALQUILADO INFORME 181.925</t>
  </si>
  <si>
    <t>NO ALQUILADO KILOMETRAJE INFORME 7.371</t>
  </si>
  <si>
    <t>ALQUILADO INFORME 91.87</t>
  </si>
  <si>
    <t>NO ALQUILADO KILOMETRAJE INFORME 8.079</t>
  </si>
  <si>
    <t xml:space="preserve"> ALQUILADO KILOMETRAJE DE INFORME 93.876</t>
  </si>
  <si>
    <t>ALQUILADO INFORME 121.218</t>
  </si>
  <si>
    <t>NO ALQUILADO INFORME 43.342</t>
  </si>
  <si>
    <t xml:space="preserve"> ALQUILADO KILOMETRAJE DE INFORME 121.218</t>
  </si>
  <si>
    <t>NO ALQUILADO KILOMETRAJE INFORME 14.849</t>
  </si>
  <si>
    <t>ALQUILADO INFORME 85.786</t>
  </si>
  <si>
    <t>NO ALQUILADO INFORME 68.15</t>
  </si>
  <si>
    <t xml:space="preserve"> ALQUILADO KILOMETRAJE DE INFORME 109.443</t>
  </si>
  <si>
    <t>NO ALQUILADO KILOMETRAJE INFORME 61.223</t>
  </si>
  <si>
    <t>ALQUILADO INFORME 52.626</t>
  </si>
  <si>
    <t>NO ALQUILADO KILOMETRAJE INFORME 94.44</t>
  </si>
  <si>
    <t>ALQUILADO INFORME 58.073</t>
  </si>
  <si>
    <t xml:space="preserve"> ALQUILADO KILOMETRAJE DE INFORME 132.585</t>
  </si>
  <si>
    <t xml:space="preserve"> ALQUILADO KILOMETRAJE DE INFORME 114,476</t>
  </si>
  <si>
    <t>NO ALQUILADO KILOMETRAJE INFORME 27.923</t>
  </si>
  <si>
    <t>ALQUILADO INFORME 65.986</t>
  </si>
  <si>
    <t xml:space="preserve"> ALQUILADO KILOMETRAJE DE INFORME 114.074</t>
  </si>
  <si>
    <t>NO ALQUILADO KILOMETRAJE INFORME 61.924</t>
  </si>
  <si>
    <t xml:space="preserve"> NO ALQUILADO INFORME 35.65</t>
  </si>
  <si>
    <t xml:space="preserve"> NO ALQUILADO KILOMETRAJE DE INFORME 18.928</t>
  </si>
  <si>
    <t xml:space="preserve"> ALQUILADO KILOMETRAJE DE INFORME 1153.23</t>
  </si>
  <si>
    <t>NO ALQUILADO KILOMETRAJE INFORME 17.347</t>
  </si>
  <si>
    <t>ALQUILADO INFORME 107.069</t>
  </si>
  <si>
    <t xml:space="preserve"> NO ALQUILADO KILOMETRAJE DE INFORME 77</t>
  </si>
  <si>
    <t>ALQUILADO KILOMETRAJE INFORME 150.955</t>
  </si>
  <si>
    <t xml:space="preserve"> NO ALQUILADO INFORME 30.791</t>
  </si>
  <si>
    <t xml:space="preserve"> NO ALQUILADO KILOMETRAJE DE INFORME 5.652</t>
  </si>
  <si>
    <t xml:space="preserve">  ALQUILADO KILOMETRAJE DE INFORME 84.846</t>
  </si>
  <si>
    <t xml:space="preserve"> NO ALQUILADO KILOMETRAJE DE INFORME 42.016</t>
  </si>
  <si>
    <t>ALQUILADO KILOMETRAJE INFORME 93.317</t>
  </si>
  <si>
    <t xml:space="preserve"> NO ALQUILADO KILOMETRAJE DE INFORME 65.828</t>
  </si>
  <si>
    <t xml:space="preserve"> NO ALQUILADO KILOMETRAJE DE INFORME 57.224</t>
  </si>
  <si>
    <t xml:space="preserve"> NO ALQUILADO KILOMETRAJE INFORME 29.978</t>
  </si>
  <si>
    <t xml:space="preserve"> NO ALQUILADO KILOMETRAJE DE INFORME 28.845</t>
  </si>
  <si>
    <t xml:space="preserve"> ALQUILADO KILOMETRAJE INFORME1 89.759</t>
  </si>
  <si>
    <t xml:space="preserve"> NO ALQUILADO KILOMETRAJE DE INFORME 11.356</t>
  </si>
  <si>
    <t xml:space="preserve"> ALQUILADO KILOMETRAJE DE INFORME 93.383</t>
  </si>
  <si>
    <t xml:space="preserve"> ALQUILADO KILOMETRAJE DE INFORME 64.008</t>
  </si>
  <si>
    <t xml:space="preserve"> ALQUILADO KILOMETRAJE DE INFORME 78.28</t>
  </si>
  <si>
    <t xml:space="preserve"> ALQUILADO KILOMETRAJE INFORME1 86.233</t>
  </si>
  <si>
    <t>ALQUILADO KILOMETRAJE INFORME 50.221</t>
  </si>
  <si>
    <t xml:space="preserve"> ALQUILADO KILOMETRAJE INFORME 41.895</t>
  </si>
  <si>
    <t xml:space="preserve"> ALQUILADO KILOMETRAJE DE INFORME 28.791</t>
  </si>
  <si>
    <t xml:space="preserve"> ALQUILADO KILOMETRAJE DE INFORME 41.895</t>
  </si>
  <si>
    <t>ALQUILADO KILOMETRAJE INFORME 130.739</t>
  </si>
  <si>
    <t xml:space="preserve"> ALQUILADO KILOMETRAJE INFORME 80.62</t>
  </si>
  <si>
    <t xml:space="preserve"> ALQUILADO KILOMETRAJE DE INFORME 46.029</t>
  </si>
  <si>
    <t>https://drive.google.com/file/d/10soqlyXgQEDPWWWLKUGGJU4v5nEsQ2Vb/view?usp=drive_link</t>
  </si>
  <si>
    <t>https://drive.google.com/file/d/1M2jT5EvWDO0r-p-_zJ1JPtM0ms74yGGx/view?usp=drive_link</t>
  </si>
  <si>
    <t>https://drive.google.com/file/d/19KYvFwcSM8AOPZ-aEFuSFJdPHOuOK5Tx/view?usp=drive_link</t>
  </si>
  <si>
    <t>https://drive.google.com/file/d/1YV_JtyO7cIOxaTAv86F5bUeB59aHMnqo/view?usp=drive_link</t>
  </si>
  <si>
    <t xml:space="preserve">ENERO </t>
  </si>
  <si>
    <t>FEBRERO</t>
  </si>
  <si>
    <t>https://drive.google.com/file/d/1TaKpHAyYB6sE1ZeP-JlfS2Kv0zJJCVHW/view?usp=drive_link</t>
  </si>
  <si>
    <t>https://drive.google.com/file/d/1vJMsaMj86s6HoSifpMgkpv1GcdDBNQ-V/view?usp=drive_link</t>
  </si>
  <si>
    <t>https://drive.google.com/file/d/1VtDlVtosaCHct7WdKLa7gYeSfLxa_iE8/view?usp=drive_link</t>
  </si>
  <si>
    <t>https://drive.google.com/file/d/18LF3rSMW6C7w4HH0qxt5N2og5afL_IBu/view?usp=drive_link</t>
  </si>
  <si>
    <t>https://drive.google.com/file/d/1OxOjEJQU6tBAry-UK4GEbNn6D7yHHxak/view?usp=drive_link</t>
  </si>
  <si>
    <t>https://drive.google.com/file/d/12isb3cWkv7T_C2kcvKACDA6rPSiiITR1/view?usp=drive_link</t>
  </si>
  <si>
    <t>https://drive.google.com/file/d/1xnfrsZEidLnfB9xo7cLzE4RaSg7rDvkj/view?usp=drive_link</t>
  </si>
  <si>
    <t>https://drive.google.com/file/d/1r3CC9Xc5BJVE8MPznzOhHOS_eJsU9KX2/view?usp=drive_link</t>
  </si>
  <si>
    <t>https://drive.google.com/file/d/1KSVjdj0-sYvRGdVlckXXVVJ5CkHdkjSo/view?usp=drive_link</t>
  </si>
  <si>
    <t>https://drive.google.com/file/d/1E7lxIzBPk-q1B0Ws83zhB_PXMqa1z5tx/view?usp=drive_link</t>
  </si>
  <si>
    <t>https://drive.google.com/file/d/1sTHNNxBfixzjnJnJ2LUYc6z-uREdHl_A/view?usp=drive_link</t>
  </si>
  <si>
    <t>MERCEDES GLE450</t>
  </si>
  <si>
    <t>MERCEDES C 200 C</t>
  </si>
  <si>
    <t xml:space="preserve"> ALQUILADO KILOMETRAJE INFORME 95.728</t>
  </si>
  <si>
    <t>ALQUILADO KILOMETRAJE DE INFORME 62,243</t>
  </si>
  <si>
    <t>NO ALQUILADO KILOMETRAJE INFORME 41,249</t>
  </si>
  <si>
    <t>NO ALQUILADO KILOMETRAJE INFORME 49,35</t>
  </si>
  <si>
    <t>NO ALQUILADO KILOMETRAJE INFORME 33,681</t>
  </si>
  <si>
    <t>NO ALQUILADO KILOMETRAJE INFORME 9,981</t>
  </si>
  <si>
    <t xml:space="preserve"> ALQUILADO KILOMETRAJE INFORME 34.691</t>
  </si>
  <si>
    <t xml:space="preserve"> ALQUILADO KILOMETRAJE INFORME 352.408</t>
  </si>
  <si>
    <t xml:space="preserve"> ALQUILADO KILOMETRAJE INFORME 247.881</t>
  </si>
  <si>
    <t xml:space="preserve"> ALQUILADO KILOMETRAJE DE INFORME 50.018</t>
  </si>
  <si>
    <t>ALQUILADO KILOMETRAJE DE INFORME 65.558</t>
  </si>
  <si>
    <t>ALQUILADO KILOMETRAJE DE INFORME 84.753</t>
  </si>
  <si>
    <t xml:space="preserve"> NO ALQUILADO INFORME 30.456</t>
  </si>
  <si>
    <t>ALQUILADO KILOMETRAJE DE INFORME 122.459</t>
  </si>
  <si>
    <t xml:space="preserve"> NO ALQUILADO KILOMETRAJE DE INFORME 0.691</t>
  </si>
  <si>
    <t xml:space="preserve"> NO ALQUILADO INFORME 37.946</t>
  </si>
  <si>
    <t>NO ALQUILADO KILOMETRAJE INFORME 40.471</t>
  </si>
  <si>
    <t xml:space="preserve"> NO ALQUILADO INFORME 32.025</t>
  </si>
  <si>
    <t>NO ALQUILADO KILOMETRAJE INFORME 25.963</t>
  </si>
  <si>
    <t xml:space="preserve"> ALQUILADO KILOMETRAJE INFORME 51.077</t>
  </si>
  <si>
    <t>ALQUILADO KILOMETRAJE DE INFORME 72.237</t>
  </si>
  <si>
    <t xml:space="preserve"> ALQUILADO KILOMETRAJE DE INFORME 51.077</t>
  </si>
  <si>
    <t>NO ALQUILADO KILOMETRAJE INFORME 34.3</t>
  </si>
  <si>
    <t>1/ene/2026</t>
  </si>
  <si>
    <t>02/ene/2026</t>
  </si>
  <si>
    <t>3/ene/2026</t>
  </si>
  <si>
    <t>4/ene/2026</t>
  </si>
  <si>
    <t>5/ene/2026</t>
  </si>
  <si>
    <t>05/ene/2026</t>
  </si>
  <si>
    <t>06/ene/2026</t>
  </si>
  <si>
    <t>6/ene/2026</t>
  </si>
  <si>
    <t>7/ene/2026</t>
  </si>
  <si>
    <t>8/ene/2026</t>
  </si>
  <si>
    <t>08/ene/2026</t>
  </si>
  <si>
    <t>13/ene/2025</t>
  </si>
  <si>
    <t>13/ene/2026</t>
  </si>
  <si>
    <t>14/ene/2026</t>
  </si>
  <si>
    <t>15/ene/2026</t>
  </si>
  <si>
    <t>16/ene/2025</t>
  </si>
  <si>
    <t>16/ene/2026</t>
  </si>
  <si>
    <t>18/ene/2026</t>
  </si>
  <si>
    <t>19/ene/2026</t>
  </si>
  <si>
    <t>20/ene/2026</t>
  </si>
  <si>
    <t>21/ene/2026</t>
  </si>
  <si>
    <t>22/ene/2025</t>
  </si>
  <si>
    <t>22/ene/2026</t>
  </si>
  <si>
    <t>24/ene/2026</t>
  </si>
  <si>
    <t>25/ene/2026</t>
  </si>
  <si>
    <t>26/ene/2026</t>
  </si>
  <si>
    <t>27/ene/2026</t>
  </si>
  <si>
    <t>28/ene/2026</t>
  </si>
  <si>
    <t>Deuda Tiago Pablo</t>
  </si>
  <si>
    <t>Transferencia desde Nequi</t>
  </si>
  <si>
    <t>Renta de carro Renault para ir a la finca</t>
  </si>
  <si>
    <t>Renta finca (Girón debe 2 millones)</t>
  </si>
  <si>
    <t>Carnes y cosas</t>
  </si>
  <si>
    <t>Botella de whisky</t>
  </si>
  <si>
    <t>Hidratación finca</t>
  </si>
  <si>
    <t>Gastos Ecuador</t>
  </si>
  <si>
    <t>Gasolina salida de finca</t>
  </si>
  <si>
    <t>Renta Mercedes E200 del 4 al 5 de enero (medio día)</t>
  </si>
  <si>
    <t>Renta Mercedes GLE450 del 6 al 7 de enero + comisión Giovanny</t>
  </si>
  <si>
    <t>Transferencia CTA Sucursal Virtual</t>
  </si>
  <si>
    <t>Envío a Jehiner – deuda Valeria</t>
  </si>
  <si>
    <t>Dinero adeudado a Daniel (llevadas y recogidas)</t>
  </si>
  <si>
    <t>Comisión renta GLE para Giovanny</t>
  </si>
  <si>
    <t>Retiro dólares Ecuador</t>
  </si>
  <si>
    <t>Comida crêpes Ecuador</t>
  </si>
  <si>
    <t>Pinta pone para trago</t>
  </si>
  <si>
    <t>Envío a Yaneth (mamá Valeria) desde cuenta David</t>
  </si>
  <si>
    <t>Parte de las llantas Mercedes GLE 450</t>
  </si>
  <si>
    <t>Mantenimiento Mercedes convertible y GLE 450</t>
  </si>
  <si>
    <t>Pago deuda Pablo</t>
  </si>
  <si>
    <t>Llantas Mercedes GLE 450</t>
  </si>
  <si>
    <t>Renta Mercedes GLE450 por un mes (10 enero a 10 febrero)</t>
  </si>
  <si>
    <t>Pago arriendo mamá Pablo a Juan David</t>
  </si>
  <si>
    <t>Préstamo Claudia Quintero (Sr. Ferney, finca La Estrella)</t>
  </si>
  <si>
    <t>Sra. Silvia – empresa TEO (Nequi)</t>
  </si>
  <si>
    <t>Pago tarjeta crédito mamá Pablo</t>
  </si>
  <si>
    <t>Préstamo docente Valeria</t>
  </si>
  <si>
    <t>Seguros de todos los carros</t>
  </si>
  <si>
    <t>A mi mamá Pablo</t>
  </si>
  <si>
    <t>Mamá Pablo</t>
  </si>
  <si>
    <t>Celular Valeria</t>
  </si>
  <si>
    <t>Celular Pablo</t>
  </si>
  <si>
    <t>Pago Valeria</t>
  </si>
  <si>
    <t>Pago de renta Audi Q3 (16–19 enero, depósito devuelto)</t>
  </si>
  <si>
    <t>Pago de renta Audi Q3 (3–18 diciembre)</t>
  </si>
  <si>
    <t>Pago deuda Pablo – Héctor Real State</t>
  </si>
  <si>
    <t>Quincena mamá Pablo</t>
  </si>
  <si>
    <t>Envío a Valeria</t>
  </si>
  <si>
    <t>Pago renta 1 día David Pérez (cubrir PYP)</t>
  </si>
  <si>
    <t>Pago deuda Pablo para compra USDT</t>
  </si>
  <si>
    <t>Llantas GLE 450 (restante)</t>
  </si>
  <si>
    <t>Mantenimientos carro Pablo nuevo</t>
  </si>
  <si>
    <t>Abono a renta Girón – Mercedes E200 (todo diciembre)</t>
  </si>
  <si>
    <t>Pago abuela Valeria</t>
  </si>
  <si>
    <t>Vuelos Sandra (mamá Valeria)</t>
  </si>
  <si>
    <t>Vuelo Sandra (mamá Valeria)</t>
  </si>
  <si>
    <t>Mercedes E200</t>
  </si>
  <si>
    <t xml:space="preserve">Renta Mercedes GLE450 </t>
  </si>
  <si>
    <t>Mercedes GLE 450</t>
  </si>
  <si>
    <t>Audi Q3</t>
  </si>
  <si>
    <t xml:space="preserve">Audi Q3 </t>
  </si>
  <si>
    <t>ALQUILADO INFORME 82.112 Renta Mercedes E200 del 4 al 5 de enero (medio día)</t>
  </si>
  <si>
    <t>ALQUILADO INFORME 218.616 Renta Mercedes E200 del 4 al 5 de enero (medio día)</t>
  </si>
  <si>
    <t xml:space="preserve"> ALQUILADO INFORME 47.923 GLE450 del 6 al 7 de enero + comisión Giovanny</t>
  </si>
  <si>
    <t>ALQUILADO INFORME 47.387 GLE450 del 6 al 7 de enero + comisión Giovanny</t>
  </si>
  <si>
    <t>ALQUILADO INFORME 104.558 Renta Mercedes GLE450 por un mes (10 enero a 10 febrero)</t>
  </si>
  <si>
    <t>ALQUILADO INFORME 113.268 Renta Mercedes GLE450 por un mes (10 enero a 10 febrero)</t>
  </si>
  <si>
    <t>ALQUILADO INFORME 60.272 Renta Mercedes GLE450 por un mes (10 enero a 10 febrero)</t>
  </si>
  <si>
    <t>ALQUILADO INFORME 75.88 Renta Mercedes GLE450 por un mes (10 enero a 10 febrero)</t>
  </si>
  <si>
    <t>ALQUILADO INFORME 74.26 Renta Mercedes GLE450 por un mes (10 enero a 10 febrero)</t>
  </si>
  <si>
    <t>ALQUILADO INFORME  16.546 Renta Mercedes GLE450 por un mes (10 enero a 10 febrero)</t>
  </si>
  <si>
    <t>ALQUILADO INFORME  26.593 Renta Mercedes GLE450 por un mes (10 enero a 10 febrero)</t>
  </si>
  <si>
    <t xml:space="preserve"> ALQUILADO INFORME 33.062 Renta Mercedes GLE450 por un mes (10 enero a 10 febrero)</t>
  </si>
  <si>
    <t xml:space="preserve"> ALQUILADO INFORME 51.959 Renta Mercedes GLE450 por un mes (10 enero a 10 febrero)</t>
  </si>
  <si>
    <t xml:space="preserve"> ALQUILADO INFORME 24.553 Renta Mercedes GLE450 por un mes (10 enero a 10 febrero)</t>
  </si>
  <si>
    <t xml:space="preserve"> ALQUILADO INFORME 48.877 Renta Mercedes GLE450 por un mes (10 enero a 10 febrero)</t>
  </si>
  <si>
    <t xml:space="preserve"> ALQUILADO INFORME 14.185 Renta Mercedes GLE450 por un mes (10 enero a 10 febrero)</t>
  </si>
  <si>
    <t xml:space="preserve"> ALQUILADO INFORME 25.334 Renta Mercedes GLE450 por un mes (10 enero a 10 febrero)</t>
  </si>
  <si>
    <t xml:space="preserve"> ALQUILADO INFORME 19.728 Renta Mercedes GLE450 por un mes (10 enero a 10 febrero)</t>
  </si>
  <si>
    <t xml:space="preserve"> ALQUILADO INFORME 47.223 Renta Mercedes GLE450 por un mes (10 enero a 10 febrero)</t>
  </si>
  <si>
    <t>ALQUILADO INFORME 47.223 Renta Mercedes GLE450 por un mes (10 enero a 10 febrero)</t>
  </si>
  <si>
    <t>ALQUILADO INFORME 19.787 Renta Mercedes GLE450 por un mes (10 enero a 10 febrero)</t>
  </si>
  <si>
    <t>ALQUILADO INFORME  5,502 Renta Mercedes GLE450 por un mes (10 enero a 10 febrero)</t>
  </si>
  <si>
    <t>ALQUILADO INFORME  0,00 Renta Mercedes GLE450 por un mes (10 enero a 10 febrero)</t>
  </si>
  <si>
    <t>ALQUILADO INFORME  36.129 Renta Mercedes GLE450 por un mes (10 enero a 10 febrero)</t>
  </si>
  <si>
    <t xml:space="preserve">  </t>
  </si>
  <si>
    <t>ALQUILADO KILOMETRAJE INFORME 107.335 Pago de renta Audi Q3 (16–19 enero, depósito devuelto)</t>
  </si>
  <si>
    <t>ALQUILADO KILOMETRAJE INFORME 26.338 Pago de renta Audi Q3 (16–19 enero, depósito devuelto)</t>
  </si>
  <si>
    <t>ALQUILADO KILOMETRAJE INFORME 23.539 Pago de renta Audi Q3 (16–19 enero, depósito devuelto)</t>
  </si>
  <si>
    <t>ALQUILADO KILOMETRAJE INFORME 28.43 Pago de renta Audi Q3 (16–19 enero, depósito devuelto)</t>
  </si>
  <si>
    <t>NO ALQUILADO KILOMETRAJE INFORME 37.705</t>
  </si>
  <si>
    <t xml:space="preserve"> ALQUILADO KILOMETRAJE INFORME 167.07</t>
  </si>
  <si>
    <t>ALQUILADO INFORME 22.518Renta Mercedes GLE450 por un mes (10 enero a 10 febrero)</t>
  </si>
  <si>
    <t xml:space="preserve"> NO ALQUILADO KILOMETRAJE DE INFORME 1</t>
  </si>
  <si>
    <t>NO ALQUILADO KILOMETRAJE INFORME 27.686</t>
  </si>
  <si>
    <t xml:space="preserve"> ALQUILADO KILOMETRAJE INFORME 46.877</t>
  </si>
  <si>
    <t xml:space="preserve"> ALQUILADO KILOMETRAJE DE INFORME5 81.822</t>
  </si>
  <si>
    <t xml:space="preserve"> ALQUILADO KILOMETRAJE DE INFORME5 53.076</t>
  </si>
  <si>
    <t>REPORTE DE VEHICULOS EN RENTA AUDI Q3 FEBRERO</t>
  </si>
  <si>
    <t xml:space="preserve"> NO ALQUILO 19,815</t>
  </si>
  <si>
    <t xml:space="preserve"> NO ALQUILO 35.44</t>
  </si>
  <si>
    <t xml:space="preserve"> NO ALQUILO 0</t>
  </si>
  <si>
    <t xml:space="preserve"> NO ALQUILO 26,767</t>
  </si>
  <si>
    <t xml:space="preserve"> ALQUILADO INFORME KILOMETRAJE  62,428</t>
  </si>
  <si>
    <t>ALQUILADO INFORME KILOMETRAJE 103,943</t>
  </si>
  <si>
    <t>ALQUILADO INFORME KILOMETRAJE 106,145</t>
  </si>
  <si>
    <t>ALQUILADO INFORME KILOMETRAJE 103,878</t>
  </si>
  <si>
    <t>ALQUILADO INFORME KILOMETRAJE 62,731</t>
  </si>
  <si>
    <t xml:space="preserve"> ALQUILADO KILOMETRAJE INFORME 61,134</t>
  </si>
  <si>
    <t>NO ALQUILADO INFORME DE KILOMETRAJE 17,798</t>
  </si>
  <si>
    <t xml:space="preserve"> ALQUILADO INFORME DE KILOMETRAJE 148,067</t>
  </si>
  <si>
    <t>NO ALQUILADO INFORME DE KILOMETRAJE 11,243</t>
  </si>
  <si>
    <t xml:space="preserve"> ALQUILADO INFORME DE KILOMETRAJE 42,133</t>
  </si>
  <si>
    <t>NO ALQUILADO INFORME DE KILOMETRAJE 42,133</t>
  </si>
  <si>
    <t>NO ALQUILADO INFORME DE KILOMETRAJE 25.7</t>
  </si>
  <si>
    <t>NO ALQUILADO INFORME DE KILOMETRAJE 29,503</t>
  </si>
  <si>
    <t xml:space="preserve"> ALQUILADO INFORME DE KILOMETRAJE 55,759</t>
  </si>
  <si>
    <t xml:space="preserve"> ALQUILADO INFORME DE KILOMETRAJE 68,422</t>
  </si>
  <si>
    <t xml:space="preserve">REPORTE DE VEHICULOS EN RENTA MERCEDES E 200 FEBRERO </t>
  </si>
  <si>
    <t>NO ALQUILADO INFORME KILOMETRAJE 27.64</t>
  </si>
  <si>
    <t>NO ALQUILADO INFORME KILOMETRAJE 24,391</t>
  </si>
  <si>
    <t>NO ALQUILADO INFORME KILOMETRAJE 22,958</t>
  </si>
  <si>
    <t>NO ALQUILADO INFORME KILOMETRAJE 23,562</t>
  </si>
  <si>
    <t>ALQUILADO 42,133</t>
  </si>
  <si>
    <t>NO ALQUILADO 0</t>
  </si>
  <si>
    <t>NO ALQUILADO 21,333</t>
  </si>
  <si>
    <t>ALQUILADO 58,843</t>
  </si>
  <si>
    <t>ALQUILADO KILOMETRAJE DE INFORME 92,854</t>
  </si>
  <si>
    <t>ALQUILADO KILOMETRAJE DE INFORME 143,032</t>
  </si>
  <si>
    <t xml:space="preserve"> NO ALQUILADO KILOMETRAJE DE INFORME 31,532</t>
  </si>
  <si>
    <t>ALQUILADO KILOMETRAJE DE INFORME 111,304</t>
  </si>
  <si>
    <t>ALQUILADO KILOMETRAJE DE INFORME 159,907</t>
  </si>
  <si>
    <t>ALQUILADO KILOMETRAJE DE INFORME 182,041</t>
  </si>
  <si>
    <t>ALQUILADO KILOMETRAJE DE INFORME 189,856</t>
  </si>
  <si>
    <t>ALQUILADO KILOMETRAJE DE INFORME 111,903</t>
  </si>
  <si>
    <t>ALQUILADO KILOMETRAJE DE INFORME 105,264</t>
  </si>
  <si>
    <t xml:space="preserve"> ALQUILADO KILOMETRAJE DE INFORME5 146,801</t>
  </si>
  <si>
    <t xml:space="preserve"> ALQUILADO KILOMETRAJE DE INFORME5 126,553</t>
  </si>
  <si>
    <t xml:space="preserve">REPORTE DE VEHICULOS EN TOYOTA XL ENERO </t>
  </si>
  <si>
    <t xml:space="preserve">REPORTE DE VEHICULOS EN TOYOTA XL FEBRERO </t>
  </si>
  <si>
    <t>ALQUILADO  KILOMETRAJE DEL INFORME 64,712</t>
  </si>
  <si>
    <t>ALQUILADO  KILOMETRAJE DEL INFORME 111,553</t>
  </si>
  <si>
    <t>ALQUILADO  KILOMETRAJE DEL INFORME 50,644</t>
  </si>
  <si>
    <t>ALQUILADO  KILOMETRAJE DEL INFORME 73,344</t>
  </si>
  <si>
    <t>ALQUILADO  KILOMETRAJE DEL INFORME 114055</t>
  </si>
  <si>
    <t>NO ALQUILADO  KILOMETRAJE DEL INFORME 31,839</t>
  </si>
  <si>
    <t>NO ALQUILADO  KILOMETRAJE DEL INFORME 33,803</t>
  </si>
  <si>
    <t>NO ALQUILADO  KILOMETRAJE DEL INFORME 16,542</t>
  </si>
  <si>
    <t>ALQUILADO  KILOMETRAJE DEL INFORME 82,197</t>
  </si>
  <si>
    <t>NO ALQUILADO INFORME DE KILOMETRAJE 30,171</t>
  </si>
  <si>
    <t>ALQUILADO 46,636</t>
  </si>
  <si>
    <t>REPORTE DE VEHICULOS EN RENTA AUDIQ8</t>
  </si>
  <si>
    <t xml:space="preserve">REPORTE DE VEHICULOS EN RENTA AUDIQ8 ENERO </t>
  </si>
  <si>
    <t>NO ALQUILADO KILOMETRAJE DE INFORME 0</t>
  </si>
  <si>
    <t xml:space="preserve"> ALQUILADO KILOMETRAJE DE INFORME 220,672</t>
  </si>
  <si>
    <t xml:space="preserve"> ALQUILADO KILOMETRAJE DE INFORME 33,824</t>
  </si>
  <si>
    <t>NO ALQUILADO KILOMETRAJE DE INFORME 6,759</t>
  </si>
  <si>
    <t>ALQUILADO KILOMETRAJE DE INFORME 61,821</t>
  </si>
  <si>
    <t xml:space="preserve"> ALQUILADO INFORME KILOMETRAJE  36,091</t>
  </si>
  <si>
    <t xml:space="preserve"> NO ALQUILO 38,97</t>
  </si>
  <si>
    <t>NO ALQUILADO INFORME DE KILOMETRAJE 9,417</t>
  </si>
  <si>
    <t xml:space="preserve"> NO ALQUILADO KILOMETRAJE DE INFORME 9,417</t>
  </si>
  <si>
    <t xml:space="preserve"> ALQUILADO KILOMETRAJE DE INFORME  67,05</t>
  </si>
  <si>
    <t>ALQUILADO  KILOMETRAJE DEL INFORME 105,796</t>
  </si>
  <si>
    <t>ALQUILADO  KILOMETRAJE DEL INFORME 41,803</t>
  </si>
  <si>
    <t>NO ALQUILADO INFORME DE KILOMETRAJE 28,989</t>
  </si>
  <si>
    <t>NO ALQUILADO 29.76</t>
  </si>
  <si>
    <t>NO ALQUILADO INFORME KILOMETRAJE  1554</t>
  </si>
  <si>
    <t xml:space="preserve"> NO ALQUILADO KILOMETRAJE DE INFORME 33,692</t>
  </si>
  <si>
    <t>ALQUILADO  KILOMETRAJE DEL INFORME 70,479</t>
  </si>
  <si>
    <t>ALQUILADO KILOMETRAJE DE INFORME 107186</t>
  </si>
  <si>
    <t>NO ALQUILADO 2,595</t>
  </si>
  <si>
    <t>NO ALQUILADO  KILOMETRAJE DEL INFORME 0</t>
  </si>
  <si>
    <t>NO ALQUILADO INFORME KILOMETRAJE 32,396</t>
  </si>
  <si>
    <t>ALQUILADO KILOMETRAJE DEL INFORME  43.762</t>
  </si>
  <si>
    <t>NO ALQUILADO INFORME KILOMETRAJE 17,817</t>
  </si>
  <si>
    <t>NO ALQUILADO KILOMETRAJE DEL INFORME 8,101</t>
  </si>
  <si>
    <t>NO ALQUILADO INFORME KILOMETRAJE  1,158</t>
  </si>
  <si>
    <t>NO ALQUILADO INFORME DE KILOMETRAJE 0,495</t>
  </si>
  <si>
    <t>NO ALQUILADO 20,926</t>
  </si>
  <si>
    <t xml:space="preserve"> NO ALQUILADO KILOMETRAJE DE INFORME 16,863</t>
  </si>
  <si>
    <t>NO ALQUILADO INFORME KILOMETRAJE  23,032</t>
  </si>
  <si>
    <t>NO ALQUILADO INFORME DE KILOMETRAJE 33,835</t>
  </si>
  <si>
    <t xml:space="preserve"> NO ALQUILADO KILOMETRAJE DE INFORME 42,278</t>
  </si>
  <si>
    <t>NO ALQUILADO  KILOMETRAJE DEL INFORME 14,545</t>
  </si>
  <si>
    <t>NO ALQUILADO INFORME KILOMETRAJE 0</t>
  </si>
  <si>
    <t>NO ALQUILADO INFORME KILOMETRAJE 3,457</t>
  </si>
  <si>
    <t>NO ALQUILADO INFORME DE KILOMETRAJE 0</t>
  </si>
  <si>
    <t>NO ALQUILADO INFORME DE KILOMETRAJE 3,457</t>
  </si>
  <si>
    <t>ALQUILADO 53,051</t>
  </si>
  <si>
    <t>NO ALQUILADO INFORME KILOMETRAJE  25.16</t>
  </si>
  <si>
    <t xml:space="preserve"> NO ALQUILADO KILOMETRAJE DE INFORME 15,419</t>
  </si>
  <si>
    <t xml:space="preserve"> NO ALQUILADO KILOMETRAJE DE INFORME 22,091</t>
  </si>
  <si>
    <t>ALQUILADO  KILOMETRAJE DEL INFORME 44,686</t>
  </si>
  <si>
    <t>ALQUILADO  KILOMETRAJE DEL INFORME 134,685</t>
  </si>
  <si>
    <t>NO ALQUILADO  KILOMETRAJE DEL INFORME 28,265</t>
  </si>
  <si>
    <t>ALQUILADO KILOMETRAJE DEL INFORME  80,641</t>
  </si>
  <si>
    <t>NO ALQUILADO INFORME DE KILOMETRAJE  28,791</t>
  </si>
  <si>
    <t>NO ALQUILADO 30.22</t>
  </si>
  <si>
    <t xml:space="preserve"> ALQUILADO KILOMETRAJE DE INFORME 40,518</t>
  </si>
  <si>
    <t>ALQUILADO  KILOMETRAJE DEL INFORME 134,007</t>
  </si>
  <si>
    <t>ALQUILADO  KILOMETRAJE DEL INFORME 44.468</t>
  </si>
  <si>
    <t xml:space="preserve"> ALQUILADO KILOMETRAJE DE INFORME 62.757</t>
  </si>
  <si>
    <t>ALQUILADO KILOMETRAJE DEL INFORME  134.829</t>
  </si>
  <si>
    <t>NO ALQUILADO INFORME DE KILOMETRAJE  16.167</t>
  </si>
  <si>
    <t>ALQUILADO KILOMETRAJE DEL INFORME 203,392</t>
  </si>
  <si>
    <t>ALQUILADO INFORME DE KILOMETRAJE  32,082</t>
  </si>
  <si>
    <t xml:space="preserve"> ALQUILADO KILOMETRAJE DE INFORME 32.082</t>
  </si>
  <si>
    <t>ALQUILADO  KILOMETRAJE DEL INFORME 37,4438</t>
  </si>
  <si>
    <t>ALQUILADO KILOMETRAJE DEL INFORME 121,023</t>
  </si>
  <si>
    <t>ALQUILADO INFORME DE KILOMETRAJE  45,078</t>
  </si>
  <si>
    <t xml:space="preserve"> ALQUILADO 45078</t>
  </si>
  <si>
    <t xml:space="preserve"> ALQUILADO KILOMETRAJE DE INFORME 38.7</t>
  </si>
  <si>
    <t xml:space="preserve"> ALQUILADO KILOMETRAJE DE INFORME 41.663</t>
  </si>
  <si>
    <t>ALQUILADO  KILOMETRAJE DEL INFORME 47,878</t>
  </si>
  <si>
    <t>ALQUILADO  KILOMETRAJE DEL INFORME 2.14</t>
  </si>
  <si>
    <t>ALQUILADO INFORME DE KILOMETRAJE  35,239</t>
  </si>
  <si>
    <t>ALQUILADO INFORME DE KILOMETRAJE  44,489</t>
  </si>
  <si>
    <t xml:space="preserve"> ALQUILADO 38.73</t>
  </si>
  <si>
    <t>NO ALQUILADO 5.516</t>
  </si>
  <si>
    <t xml:space="preserve"> ALQUILADO KILOMETRAJE DE INFORME 22,143</t>
  </si>
  <si>
    <t>ALQUILADO  KILOMETRAJE DEL INFORME 44,629</t>
  </si>
  <si>
    <t>ALQUILADO  KILOMETRAJE DEL INFORME 48,034</t>
  </si>
  <si>
    <t>ALQUILADO KILOMETRAJE DEL INFORME 119,644</t>
  </si>
  <si>
    <t>ALQUILADO KILOMETRAJE DEL INFORME  5,516</t>
  </si>
  <si>
    <t>ALQUILADO KILOMETRAJE DEL INFORME 70.9</t>
  </si>
  <si>
    <t xml:space="preserve"> ALQUILADO 74,42</t>
  </si>
  <si>
    <t>ALQUILADO KILOMETRAJE DE INFORME 63,013</t>
  </si>
  <si>
    <t>ALQUILADO KILOMETRAJE DE INFORME 63,192</t>
  </si>
  <si>
    <t>NO ALQUILADO  KILOMETRAJE DEL INFORME 21.61</t>
  </si>
  <si>
    <t>ALQUILADO KILOMETRAJE DEL INFORME 35,359</t>
  </si>
  <si>
    <t>REPORTE DE VEHICULOS EN RENTA AUDI Q3 MARZO</t>
  </si>
  <si>
    <t xml:space="preserve">ALQUILADO KILOMETRAJE DEL INFORME 79.854 </t>
  </si>
  <si>
    <t>ALQUILADO KILOMETRAJE DEL INFORME 64.443</t>
  </si>
  <si>
    <t>ALQUILADO INFORME DE KILOMETRAJE 35.359</t>
  </si>
  <si>
    <t>NO ALQUILADO INFORME DE KILOMETRAJE 25,765</t>
  </si>
  <si>
    <t>NO ALQUILADO INFORME DE KILOMETRAJE  6,621</t>
  </si>
  <si>
    <t>REPORTE DE VEHICULOS EN RENTA MERCEDES E 200 FEBRERO</t>
  </si>
  <si>
    <t>REPORTE DE VEHICULOS EN RENTA MERCEDES E 200 MARZO</t>
  </si>
  <si>
    <t>NO ALQUILADO INFORME DE KILOMETRAJE  25,91</t>
  </si>
  <si>
    <t xml:space="preserve"> ALQUILADO 65,601</t>
  </si>
  <si>
    <t>NO ALQUILADO 19,935</t>
  </si>
  <si>
    <t xml:space="preserve"> ALQUILADO KILOMETRAJE  74,42</t>
  </si>
  <si>
    <t xml:space="preserve"> NO ALQUILADO KILOMETRAJE  16,622</t>
  </si>
  <si>
    <t>ALQUILADO KILOMETRAJE DE INFORME 35,359</t>
  </si>
  <si>
    <t>ALQUILADO INFORME KILOMETRAJE 41.501</t>
  </si>
  <si>
    <t xml:space="preserve">REPORTE DE VEHICULOS EN TOYOTA XL MARZO  </t>
  </si>
  <si>
    <t>NO ALQUILADO  KILOMETRAJE DEL INFORME 5,615</t>
  </si>
  <si>
    <t>ALQUILADO  KILOMETRAJE DEL INFORME 57,632</t>
  </si>
  <si>
    <t>NO ALQUILADO INFORME DE KILOMETRAJE 4,412</t>
  </si>
  <si>
    <t xml:space="preserve"> NO ALQUILADO KILOMETRAJE  19,184</t>
  </si>
  <si>
    <t>NO ALQUILADO KILOMETRAJE DE INFORME 0.121</t>
  </si>
  <si>
    <t>NO ALQUILADO INFORME KILOMETRAJE 13,665</t>
  </si>
  <si>
    <t>NO ALQUILADO INFORME KILOMETRAJE 14,795</t>
  </si>
  <si>
    <t>ALQUILADO  KILOMETRAJE DEL INFORME 51,184</t>
  </si>
  <si>
    <t>NO ALQUILADO INFORME DE KILOMETRAJE 4,36</t>
  </si>
  <si>
    <t xml:space="preserve"> ALQUILADO KILOMETRAJE 62,453</t>
  </si>
  <si>
    <t>ALQUILADO  KILOMETRAJE DEL INFORME 38,066</t>
  </si>
  <si>
    <t>NO ALQUILADO INFORME KILOMETRAJE 90,446</t>
  </si>
  <si>
    <t>ALQUILADO KILOMETRAJE DEL INFORME 67,285</t>
  </si>
  <si>
    <t>NO ALQUILADO INFORME DE KILOMETRAJE 0.9</t>
  </si>
  <si>
    <t xml:space="preserve"> ALQUILADO KILOMETRAJE 30.78</t>
  </si>
  <si>
    <t>ALQUILADO KILOMETRAJE DE INFORME 59,589</t>
  </si>
  <si>
    <t>ALQUILADO  KILOMETRAJE DEL INFORME 50,076</t>
  </si>
  <si>
    <t>ALQUILADO KILOMETRAJE DEL INFORME 162.096</t>
  </si>
  <si>
    <t>ALQUILADO KILOMETRAJE DEL INFORME 62.453</t>
  </si>
  <si>
    <t>ALQUILADO KILOMETRAJE DEL INFORME 49.748</t>
  </si>
  <si>
    <t>ALQUILADO INFORME DE KILOMETRAJE 339.958</t>
  </si>
  <si>
    <t xml:space="preserve"> NO ALQUILADO KILOMETRAJE 28.54</t>
  </si>
  <si>
    <t>NO ALQUILADO KILOMETRAJE DE INFORME 17.239</t>
  </si>
  <si>
    <t xml:space="preserve"> ALQUILADO INFORME KILOMETRAJE 59,718</t>
  </si>
  <si>
    <t>ALQUILADO  KILOMETRAJE DEL INFORME 83,797</t>
  </si>
  <si>
    <t>ALQUILADO KILOMETRAJE DEL INFORME 97,267</t>
  </si>
  <si>
    <t>ALQUILADO KILOMETRAJE DEL INFORME 42.968</t>
  </si>
  <si>
    <t xml:space="preserve"> NO ALQUILADO KILOMETRAJE DEL INFORME 0</t>
  </si>
  <si>
    <t>ALQUILADO INFORME DE KILOMETRAJE 234.245</t>
  </si>
  <si>
    <t>ALQUILADO KILOMETRAJE DEL INFORME 105.918</t>
  </si>
  <si>
    <t>ALQUILADO KILOMETRAJE DEL INFORME 238.774</t>
  </si>
  <si>
    <t>ALQUILADO KILOMETRAJE DEL INFORME 0</t>
  </si>
  <si>
    <t xml:space="preserve"> NO ALQUILADO KILOMETRAJE 0</t>
  </si>
  <si>
    <t xml:space="preserve"> NO ALQUILADO KILOMETRAJE 222.69</t>
  </si>
  <si>
    <t>NO ALQUILADO KILOMETRAJE DE INFORME 26,97</t>
  </si>
  <si>
    <t xml:space="preserve"> ALQUILADO KILOMETRAJE DE INFORME 126,54</t>
  </si>
  <si>
    <t xml:space="preserve"> ALQUILADO KILOMETRAJE DE INFORME 36.197</t>
  </si>
  <si>
    <t>ALQUILADO  KILOMETRAJE DEL INFORME 149.844</t>
  </si>
  <si>
    <t>ALQUILADO  KILOMETRAJE DEL INFORME 104.317</t>
  </si>
  <si>
    <t>ALQUILADO  KILOMETRAJE DEL INFORME 34.464</t>
  </si>
  <si>
    <t xml:space="preserve"> NO ALQUILADO KILOMETRAJE DEL INFORME 30.645</t>
  </si>
  <si>
    <t xml:space="preserve"> ALQUILADO INFORME KILOMETRAJE 95.966</t>
  </si>
  <si>
    <t xml:space="preserve"> ALQUILADO INFORME KILOMETRAJE 105.573</t>
  </si>
  <si>
    <t xml:space="preserve"> ALQUILADO INFORME KILOMETRAJE 36.21</t>
  </si>
  <si>
    <t xml:space="preserve"> ALQUILADO INFORME KILOMETRAJE 490.44</t>
  </si>
  <si>
    <t xml:space="preserve"> ALQUILADO INFORME KILOMETRAJE 48.13</t>
  </si>
  <si>
    <t>ALQUILADO  KILOMETRAJE DEL INFORME 60.862</t>
  </si>
  <si>
    <t>NO ALQUILADO KILOMETRAJE DE INFORME 2,534</t>
  </si>
  <si>
    <t xml:space="preserve"> ALQUILADO KILOMETRAJE DE INFORME 0</t>
  </si>
  <si>
    <t xml:space="preserve"> ALQUILADO KILOMETRAJE DEL INFORME 109.099</t>
  </si>
  <si>
    <t xml:space="preserve"> ALQUILADO KILOMETRAJE 40,994</t>
  </si>
  <si>
    <t>ALQUILADO  KILOMETRAJE DEL INFORME 96.131</t>
  </si>
  <si>
    <t xml:space="preserve"> ALQUILADO KILOMETRAJE DEL INFORME 130.028</t>
  </si>
  <si>
    <t xml:space="preserve"> ALQUILADO KILOMETRAJE DEL INFORME 72,40</t>
  </si>
  <si>
    <t xml:space="preserve"> ALQUILADO KILOMETRAJE DEL INFORME  174</t>
  </si>
  <si>
    <t xml:space="preserve"> ALQUILADO KILOMETRAJE DEL INFORME  129</t>
  </si>
  <si>
    <t xml:space="preserve"> ALQUILADO KILOMETRAJE DEL INFORME 40,994</t>
  </si>
  <si>
    <t xml:space="preserve"> ALQUILADO KILOMETRAJE DEL INFORME 71,54</t>
  </si>
  <si>
    <t>NO ALQUIILADO KILOMETRAJE DEL INFORME 5,88</t>
  </si>
  <si>
    <t xml:space="preserve"> ALQUILADO KILOMETRAJE DEL INFORME  55</t>
  </si>
  <si>
    <t xml:space="preserve"> NO ALQUILADO KILOMETRAJE DEL INFORME  28</t>
  </si>
  <si>
    <t xml:space="preserve"> NO ALQUILADO KILOMETRAJE 6,12</t>
  </si>
  <si>
    <t>NO  ALQUILADO KILOMETRAJE 0</t>
  </si>
  <si>
    <t>NO  ALQUILADO KILOMETRAJE 10,144</t>
  </si>
  <si>
    <t>NO  ALQUILADO KILOMETRAJE 24</t>
  </si>
  <si>
    <t xml:space="preserve"> NOALQUILADO INFORME KILOMETRAJE 28</t>
  </si>
  <si>
    <t>NO ALQUILADO INFORME KILOMETRAJE 6.02</t>
  </si>
  <si>
    <t xml:space="preserve"> NO ALQUILADO INFORME KILOMETRAJE 0</t>
  </si>
  <si>
    <t xml:space="preserve"> ALQUILADO INFORME KILOMETRAJE  156</t>
  </si>
  <si>
    <t xml:space="preserve"> ALQUILADO INFORME KILOMETRAJE  154</t>
  </si>
  <si>
    <t xml:space="preserve"> ALQUILADO INFORME KILOMETRAJE  89,462</t>
  </si>
  <si>
    <t>ALQUILADO  KILOMETRAJE DEL INFORME 106,39</t>
  </si>
  <si>
    <t>ALQUILADO  KILOMETRAJE DEL INFORME 138,734</t>
  </si>
  <si>
    <t>ALQUILADO  KILOMETRAJE DEL INFORME 279</t>
  </si>
  <si>
    <t>ALQUILADO  KILOMETRAJE DEL INFORME 108,57</t>
  </si>
  <si>
    <t xml:space="preserve"> ALQUILADO KILOMETRAJE DEL INFORME  22,28</t>
  </si>
  <si>
    <t>NO  ALQUILADO KILOMETRAJE 17,704</t>
  </si>
  <si>
    <t xml:space="preserve"> ALQUILADO INFORME KILOMETRAJE  44,989</t>
  </si>
  <si>
    <t>ALQUILADO  KILOMETRAJE DEL INFORME 85,234</t>
  </si>
  <si>
    <t>PAGO TRASLADO HECHO POR TEO M SAS CON NIT 901792804 POR CON CEPTO</t>
  </si>
  <si>
    <t>Traslado de fondos por SUCURSAL VIRTUAL al producto 779,363 6190</t>
  </si>
  <si>
    <t xml:space="preserve">Traslado de fondos por SUCURSAL VIRTUAL </t>
  </si>
  <si>
    <t xml:space="preserve">transferencia de fondos por SUCURSAL VIRTUAL </t>
  </si>
  <si>
    <t>X|</t>
  </si>
  <si>
    <t xml:space="preserve">translado de fondos por sucursal virtual del producto 623-92590027 prestamo pablo piña </t>
  </si>
  <si>
    <t>AUDI 3</t>
  </si>
  <si>
    <t>MERCEDES C200</t>
  </si>
  <si>
    <t>TOYOTA XL</t>
  </si>
  <si>
    <t>MERCEDES  GLE450</t>
  </si>
  <si>
    <t>TEO SAS</t>
  </si>
  <si>
    <t>NO ALQUILADO KILOMETRAJE DEL INFORME  3,77</t>
  </si>
  <si>
    <t>NO ALQUILADO KILOMETRAJE DEL INFORME  0</t>
  </si>
  <si>
    <t xml:space="preserve"> ALQUILADO INFORME KILOMETRAJE  59,123</t>
  </si>
  <si>
    <t xml:space="preserve"> ALQUILADO INFORME KILOMETRAJE 169.791</t>
  </si>
  <si>
    <t>ALQUILADO  KILOMETRAJE DEL INFORME 1,527</t>
  </si>
  <si>
    <t>ALQUILADO  KILOMETRAJE DEL INFORME 79,844</t>
  </si>
  <si>
    <t>ALQUILADO KILOMETRAJE DE EL INFORME 189,706</t>
  </si>
  <si>
    <t xml:space="preserve"> ALQUILADO INFORME KILOMETRAJE 48.521</t>
  </si>
  <si>
    <t>ALQUILADO KILOMETRAJE DEL INFORME  44,75</t>
  </si>
  <si>
    <t xml:space="preserve"> NO ALQUILADO KILOMETRAJE DEL INFORME  29,711</t>
  </si>
  <si>
    <t>ALQUILADO KILOMETRAJE DEL INFORME  56,648</t>
  </si>
  <si>
    <t>ALQUILADO KILOMETRAJE DEL INFORME  262,247</t>
  </si>
  <si>
    <t>NO  ALQUILADO KILOMETRAJE 10,588</t>
  </si>
  <si>
    <t>NO  ALQUILADO KILOMETRAJE 25,535</t>
  </si>
  <si>
    <t xml:space="preserve"> ALQUILADO KILOMETRAJE 36,04</t>
  </si>
  <si>
    <t>ALQUILADO  KILOMETRAJE DEL INFORME 96.341</t>
  </si>
  <si>
    <t>NO ALQUILADO KILOMETRAJE DEL INFORME  26.656</t>
  </si>
  <si>
    <t>NO ALQUILADO KILOMETRAJE DEL INFORME  54.88</t>
  </si>
  <si>
    <t>NO ALQUILADO KILOMETRAJE DEL INFORME  83.58</t>
  </si>
  <si>
    <t>NO ALQUILADO KILOMETRAJE DEL INFORME  4.895</t>
  </si>
  <si>
    <t xml:space="preserve"> NO ALQUILADO KILOMETRAJE DEL INFORME  13.154</t>
  </si>
  <si>
    <t xml:space="preserve"> NO ALQUILADO KILOMETRAJE DEL INFORME  21.807</t>
  </si>
  <si>
    <t xml:space="preserve"> NO ALQUILADO KILOMETRAJE DEL INFORME  0</t>
  </si>
  <si>
    <t xml:space="preserve"> ALQUILADO KILOMETRAJE 35.422</t>
  </si>
  <si>
    <t xml:space="preserve"> ALQUILADO KILOMETRAJE 46.723</t>
  </si>
  <si>
    <t>NO  ALQUILADO KILOMETRAJE 67.62</t>
  </si>
  <si>
    <t xml:space="preserve"> ALQUILADO INFORME KILOMETRAJE 80.069</t>
  </si>
  <si>
    <t>NO ALQUILADO INFORME KILOMETRAJE 44.17</t>
  </si>
  <si>
    <t>NO ALQUILADO INFORME KILOMETRAJE 19.29</t>
  </si>
  <si>
    <t xml:space="preserve"> ALQUILADO INFORME KILOMETRAJE 52.946</t>
  </si>
  <si>
    <t>ALQUILADO  KILOMETRAJE DEL INFORME 64.325</t>
  </si>
  <si>
    <t>ALQUILADO  KILOMETRAJE DEL INFORME 96.489</t>
  </si>
  <si>
    <t>ALQUILADO  KILOMETRAJE DEL INFORME 175.339</t>
  </si>
  <si>
    <t>NO ALQUILADO  KILOMETRAJE DEL INFORME 21.612</t>
  </si>
  <si>
    <t>ALQUILADO  KILOMETRAJE DEL INFORME 49.197</t>
  </si>
  <si>
    <t xml:space="preserve"> ALQUILADO INFORME KILOMETRAJE 30.083</t>
  </si>
  <si>
    <t xml:space="preserve"> ALQUILADO KILOMETRAJE 87.681</t>
  </si>
  <si>
    <t>ALQUILADO KILOMETRAJE DE EL INFORME 241.766</t>
  </si>
  <si>
    <t xml:space="preserve">ALQUILADO KILOMETRAJE DE EL INFORME 65.466 </t>
  </si>
  <si>
    <t>ALQUILADO KILOMETRAJE DEL INFORME  55.602</t>
  </si>
  <si>
    <t>NO  ALQUILADO KILOMETRAJE 8.067</t>
  </si>
  <si>
    <t>NO ALQUILADO INFORME KILOMETRAJE 22.983</t>
  </si>
  <si>
    <t>ALQUILADO  KILOMETRAJE DEL INFORME 56.176</t>
  </si>
  <si>
    <t xml:space="preserve"> ALQUILADO INFORME KILOMETRAJE 96.294</t>
  </si>
  <si>
    <t xml:space="preserve"> ALQUILADO INFORME KILOMETRAJE 86.381</t>
  </si>
  <si>
    <t xml:space="preserve"> ALQUILADO INFORME KILOMETRAJE 170.182</t>
  </si>
  <si>
    <t xml:space="preserve"> ALQUILADO INFORME KILOMETRAJE 90.046</t>
  </si>
  <si>
    <t>ALQUILADO KILOMETRAJE DE EL INFORME 65.898</t>
  </si>
  <si>
    <t>NO  ALQUILADO KILOMETRAJE 26.574</t>
  </si>
  <si>
    <t xml:space="preserve"> ALQUILADO INFORME KILOMETRAJE 60.627</t>
  </si>
  <si>
    <t>NO ALQUILADO  KILOMETRAJE DEL INFORME 13.183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</si>
</sst>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"/>
    <numFmt numFmtId="165" formatCode="_-&quot;$&quot;\ * #,##0.00_-;\-&quot;$&quot;\ * #,##0.00_-;_-&quot;$&quot;\ * &quot;-&quot;??_-;_-@"/>
    <numFmt numFmtId="166" formatCode="d/m/yyyy"/>
    <numFmt numFmtId="167" formatCode="\$#,##0.00"/>
    <numFmt numFmtId="168" formatCode="_-* #,##0_-;\-* #,##0_-;_-* &quot;-&quot;??_-;_-@_-"/>
    <numFmt numFmtId="169" formatCode="_-&quot;$&quot;\ * #,##0_-;\-&quot;$&quot;\ * #,##0_-;_-&quot;$&quot;\ * &quot;-&quot;??_-;_-@"/>
    <numFmt numFmtId="170" formatCode="_-&quot;$&quot;\ * #,##0_-;\-&quot;$&quot;\ * #,##0_-;_-&quot;$&quot;\ * &quot;-&quot;??_-;_-@_-"/>
  </numFmts>
  <fonts count="2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7030A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4"/>
      <color theme="1"/>
      <name val="Arial Black"/>
      <family val="2"/>
    </font>
    <font>
      <b/>
      <sz val="12"/>
      <color theme="1"/>
      <name val="Aptos Black"/>
      <family val="2"/>
    </font>
    <font>
      <b/>
      <sz val="11"/>
      <color rgb="FF00B050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Arial Black"/>
      <family val="2"/>
    </font>
    <font>
      <b/>
      <sz val="12"/>
      <color rgb="FF002060"/>
      <name val="Aptos Black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7030A0"/>
      <name val="Calibri"/>
      <family val="2"/>
    </font>
    <font>
      <sz val="11"/>
      <color theme="1"/>
      <name val="Arial"/>
      <family val="2"/>
    </font>
    <font>
      <b/>
      <sz val="14"/>
      <color theme="1"/>
      <name val="Arial Black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theme="1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E1EA39"/>
        <bgColor rgb="FFE1EA39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EAF1DD"/>
        <bgColor rgb="FFEAF1DD"/>
      </patternFill>
    </fill>
    <fill>
      <patternFill patternType="solid">
        <fgColor rgb="FF95B3D7"/>
        <bgColor rgb="FF95B3D7"/>
      </patternFill>
    </fill>
    <fill>
      <patternFill patternType="solid">
        <fgColor rgb="FFFFFF00"/>
        <bgColor rgb="FFE1EA3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C000"/>
        <bgColor rgb="FFE1EA39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0"/>
      </patternFill>
    </fill>
    <fill>
      <patternFill patternType="solid">
        <fgColor theme="8" tint="0.39997558519241921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9" fillId="0" borderId="0" applyNumberFormat="0" applyFill="0" applyBorder="0" applyAlignment="0" applyProtection="0"/>
    <xf numFmtId="43" fontId="20" fillId="0" borderId="0" applyFont="0" applyFill="0" applyBorder="0" applyAlignment="0" applyProtection="0"/>
    <xf numFmtId="44" fontId="27" fillId="0" borderId="0" applyFont="0" applyFill="0" applyBorder="0" applyAlignment="0" applyProtection="0"/>
  </cellStyleXfs>
  <cellXfs count="177">
    <xf numFmtId="0" fontId="0" fillId="0" borderId="0" xfId="0"/>
    <xf numFmtId="0" fontId="3" fillId="0" borderId="0" xfId="0" applyFont="1" applyAlignment="1">
      <alignment horizontal="center"/>
    </xf>
    <xf numFmtId="164" fontId="3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6" fillId="3" borderId="5" xfId="0" applyFont="1" applyFill="1" applyBorder="1"/>
    <xf numFmtId="164" fontId="3" fillId="0" borderId="5" xfId="0" applyNumberFormat="1" applyFont="1" applyBorder="1"/>
    <xf numFmtId="0" fontId="6" fillId="0" borderId="5" xfId="0" applyFont="1" applyBorder="1"/>
    <xf numFmtId="165" fontId="7" fillId="0" borderId="5" xfId="0" applyNumberFormat="1" applyFont="1" applyBorder="1"/>
    <xf numFmtId="164" fontId="8" fillId="0" borderId="5" xfId="0" applyNumberFormat="1" applyFont="1" applyBorder="1"/>
    <xf numFmtId="9" fontId="3" fillId="0" borderId="0" xfId="0" applyNumberFormat="1" applyFont="1"/>
    <xf numFmtId="165" fontId="8" fillId="0" borderId="5" xfId="0" applyNumberFormat="1" applyFont="1" applyBorder="1"/>
    <xf numFmtId="165" fontId="9" fillId="0" borderId="5" xfId="0" applyNumberFormat="1" applyFont="1" applyBorder="1"/>
    <xf numFmtId="0" fontId="8" fillId="0" borderId="5" xfId="0" applyFont="1" applyBorder="1"/>
    <xf numFmtId="0" fontId="3" fillId="0" borderId="0" xfId="0" applyFont="1" applyAlignment="1">
      <alignment horizontal="right"/>
    </xf>
    <xf numFmtId="0" fontId="11" fillId="3" borderId="15" xfId="0" applyFont="1" applyFill="1" applyBorder="1" applyAlignment="1">
      <alignment horizontal="right" vertical="center"/>
    </xf>
    <xf numFmtId="0" fontId="3" fillId="3" borderId="5" xfId="0" applyFont="1" applyFill="1" applyBorder="1"/>
    <xf numFmtId="0" fontId="3" fillId="3" borderId="1" xfId="0" applyFont="1" applyFill="1" applyBorder="1"/>
    <xf numFmtId="0" fontId="11" fillId="3" borderId="16" xfId="0" applyFont="1" applyFill="1" applyBorder="1" applyAlignment="1">
      <alignment horizontal="center" vertical="center"/>
    </xf>
    <xf numFmtId="164" fontId="11" fillId="3" borderId="16" xfId="0" applyNumberFormat="1" applyFont="1" applyFill="1" applyBorder="1" applyAlignment="1">
      <alignment horizontal="center" vertical="center"/>
    </xf>
    <xf numFmtId="166" fontId="3" fillId="0" borderId="5" xfId="0" applyNumberFormat="1" applyFont="1" applyBorder="1" applyAlignment="1">
      <alignment horizontal="right"/>
    </xf>
    <xf numFmtId="166" fontId="3" fillId="0" borderId="5" xfId="0" applyNumberFormat="1" applyFont="1" applyBorder="1" applyAlignment="1">
      <alignment horizontal="center"/>
    </xf>
    <xf numFmtId="0" fontId="3" fillId="0" borderId="5" xfId="0" applyFont="1" applyBorder="1"/>
    <xf numFmtId="0" fontId="3" fillId="0" borderId="17" xfId="0" applyFont="1" applyBorder="1"/>
    <xf numFmtId="165" fontId="3" fillId="0" borderId="5" xfId="0" applyNumberFormat="1" applyFont="1" applyBorder="1"/>
    <xf numFmtId="166" fontId="3" fillId="4" borderId="5" xfId="0" applyNumberFormat="1" applyFont="1" applyFill="1" applyBorder="1" applyAlignment="1">
      <alignment horizontal="right"/>
    </xf>
    <xf numFmtId="166" fontId="3" fillId="4" borderId="5" xfId="0" applyNumberFormat="1" applyFont="1" applyFill="1" applyBorder="1"/>
    <xf numFmtId="0" fontId="3" fillId="0" borderId="5" xfId="0" applyFont="1" applyBorder="1" applyAlignment="1">
      <alignment horizontal="center"/>
    </xf>
    <xf numFmtId="165" fontId="12" fillId="0" borderId="5" xfId="0" applyNumberFormat="1" applyFont="1" applyBorder="1"/>
    <xf numFmtId="164" fontId="12" fillId="0" borderId="5" xfId="0" applyNumberFormat="1" applyFont="1" applyBorder="1"/>
    <xf numFmtId="167" fontId="3" fillId="0" borderId="5" xfId="0" applyNumberFormat="1" applyFont="1" applyBorder="1"/>
    <xf numFmtId="0" fontId="3" fillId="0" borderId="18" xfId="0" applyFont="1" applyBorder="1"/>
    <xf numFmtId="164" fontId="12" fillId="0" borderId="18" xfId="0" applyNumberFormat="1" applyFont="1" applyBorder="1"/>
    <xf numFmtId="165" fontId="7" fillId="0" borderId="18" xfId="0" applyNumberFormat="1" applyFont="1" applyBorder="1"/>
    <xf numFmtId="164" fontId="8" fillId="0" borderId="18" xfId="0" applyNumberFormat="1" applyFont="1" applyBorder="1"/>
    <xf numFmtId="0" fontId="3" fillId="5" borderId="5" xfId="0" applyFont="1" applyFill="1" applyBorder="1"/>
    <xf numFmtId="165" fontId="3" fillId="4" borderId="5" xfId="0" applyNumberFormat="1" applyFont="1" applyFill="1" applyBorder="1"/>
    <xf numFmtId="166" fontId="3" fillId="0" borderId="0" xfId="0" applyNumberFormat="1" applyFont="1"/>
    <xf numFmtId="166" fontId="3" fillId="0" borderId="0" xfId="0" applyNumberFormat="1" applyFont="1" applyAlignment="1">
      <alignment horizontal="center"/>
    </xf>
    <xf numFmtId="167" fontId="3" fillId="0" borderId="20" xfId="0" applyNumberFormat="1" applyFont="1" applyBorder="1"/>
    <xf numFmtId="167" fontId="3" fillId="0" borderId="18" xfId="0" applyNumberFormat="1" applyFont="1" applyBorder="1"/>
    <xf numFmtId="166" fontId="3" fillId="0" borderId="12" xfId="0" applyNumberFormat="1" applyFont="1" applyBorder="1" applyAlignment="1">
      <alignment horizontal="center"/>
    </xf>
    <xf numFmtId="167" fontId="3" fillId="4" borderId="5" xfId="0" applyNumberFormat="1" applyFont="1" applyFill="1" applyBorder="1"/>
    <xf numFmtId="0" fontId="6" fillId="0" borderId="0" xfId="0" applyFont="1"/>
    <xf numFmtId="166" fontId="14" fillId="0" borderId="0" xfId="0" applyNumberFormat="1" applyFont="1" applyAlignment="1">
      <alignment horizontal="right"/>
    </xf>
    <xf numFmtId="167" fontId="3" fillId="0" borderId="0" xfId="0" applyNumberFormat="1" applyFont="1"/>
    <xf numFmtId="167" fontId="6" fillId="4" borderId="1" xfId="0" applyNumberFormat="1" applyFont="1" applyFill="1" applyBorder="1"/>
    <xf numFmtId="0" fontId="16" fillId="3" borderId="5" xfId="0" applyFont="1" applyFill="1" applyBorder="1" applyAlignment="1">
      <alignment horizontal="center" vertical="center"/>
    </xf>
    <xf numFmtId="165" fontId="3" fillId="5" borderId="5" xfId="0" applyNumberFormat="1" applyFont="1" applyFill="1" applyBorder="1"/>
    <xf numFmtId="165" fontId="3" fillId="3" borderId="5" xfId="0" applyNumberFormat="1" applyFont="1" applyFill="1" applyBorder="1"/>
    <xf numFmtId="0" fontId="3" fillId="3" borderId="21" xfId="0" applyFont="1" applyFill="1" applyBorder="1"/>
    <xf numFmtId="165" fontId="6" fillId="4" borderId="5" xfId="0" applyNumberFormat="1" applyFont="1" applyFill="1" applyBorder="1"/>
    <xf numFmtId="166" fontId="3" fillId="3" borderId="23" xfId="0" applyNumberFormat="1" applyFont="1" applyFill="1" applyBorder="1" applyAlignment="1">
      <alignment horizontal="left"/>
    </xf>
    <xf numFmtId="167" fontId="4" fillId="4" borderId="5" xfId="0" applyNumberFormat="1" applyFont="1" applyFill="1" applyBorder="1"/>
    <xf numFmtId="166" fontId="14" fillId="3" borderId="5" xfId="0" applyNumberFormat="1" applyFont="1" applyFill="1" applyBorder="1" applyAlignment="1">
      <alignment horizontal="left"/>
    </xf>
    <xf numFmtId="166" fontId="13" fillId="3" borderId="5" xfId="0" applyNumberFormat="1" applyFont="1" applyFill="1" applyBorder="1" applyAlignment="1">
      <alignment horizontal="left"/>
    </xf>
    <xf numFmtId="0" fontId="3" fillId="0" borderId="23" xfId="0" applyFont="1" applyBorder="1"/>
    <xf numFmtId="0" fontId="5" fillId="0" borderId="22" xfId="0" applyFont="1" applyBorder="1"/>
    <xf numFmtId="0" fontId="6" fillId="0" borderId="22" xfId="0" applyFont="1" applyBorder="1"/>
    <xf numFmtId="165" fontId="7" fillId="0" borderId="22" xfId="0" applyNumberFormat="1" applyFont="1" applyBorder="1"/>
    <xf numFmtId="0" fontId="8" fillId="0" borderId="22" xfId="0" applyFont="1" applyBorder="1"/>
    <xf numFmtId="164" fontId="7" fillId="0" borderId="22" xfId="0" applyNumberFormat="1" applyFont="1" applyBorder="1"/>
    <xf numFmtId="164" fontId="3" fillId="0" borderId="22" xfId="0" applyNumberFormat="1" applyFont="1" applyBorder="1"/>
    <xf numFmtId="0" fontId="0" fillId="0" borderId="22" xfId="0" applyBorder="1"/>
    <xf numFmtId="0" fontId="6" fillId="3" borderId="26" xfId="0" applyFont="1" applyFill="1" applyBorder="1"/>
    <xf numFmtId="0" fontId="6" fillId="0" borderId="26" xfId="0" applyFont="1" applyBorder="1"/>
    <xf numFmtId="165" fontId="7" fillId="0" borderId="26" xfId="0" applyNumberFormat="1" applyFont="1" applyBorder="1"/>
    <xf numFmtId="164" fontId="8" fillId="0" borderId="26" xfId="0" applyNumberFormat="1" applyFont="1" applyBorder="1"/>
    <xf numFmtId="165" fontId="8" fillId="0" borderId="26" xfId="0" applyNumberFormat="1" applyFont="1" applyBorder="1"/>
    <xf numFmtId="165" fontId="9" fillId="0" borderId="26" xfId="0" applyNumberFormat="1" applyFont="1" applyBorder="1"/>
    <xf numFmtId="0" fontId="8" fillId="0" borderId="26" xfId="0" applyFont="1" applyBorder="1"/>
    <xf numFmtId="3" fontId="3" fillId="0" borderId="17" xfId="0" applyNumberFormat="1" applyFont="1" applyBorder="1"/>
    <xf numFmtId="3" fontId="17" fillId="0" borderId="17" xfId="0" applyNumberFormat="1" applyFont="1" applyBorder="1"/>
    <xf numFmtId="0" fontId="17" fillId="0" borderId="17" xfId="0" applyFont="1" applyBorder="1"/>
    <xf numFmtId="0" fontId="3" fillId="0" borderId="21" xfId="0" applyFont="1" applyBorder="1"/>
    <xf numFmtId="0" fontId="0" fillId="0" borderId="26" xfId="0" applyBorder="1"/>
    <xf numFmtId="166" fontId="3" fillId="0" borderId="19" xfId="0" applyNumberFormat="1" applyFont="1" applyBorder="1" applyAlignment="1">
      <alignment horizontal="center"/>
    </xf>
    <xf numFmtId="0" fontId="3" fillId="3" borderId="26" xfId="0" applyFont="1" applyFill="1" applyBorder="1"/>
    <xf numFmtId="0" fontId="19" fillId="0" borderId="0" xfId="1"/>
    <xf numFmtId="0" fontId="3" fillId="0" borderId="19" xfId="0" applyFont="1" applyBorder="1"/>
    <xf numFmtId="165" fontId="3" fillId="0" borderId="19" xfId="0" applyNumberFormat="1" applyFont="1" applyBorder="1"/>
    <xf numFmtId="0" fontId="3" fillId="0" borderId="27" xfId="0" applyFont="1" applyBorder="1"/>
    <xf numFmtId="0" fontId="11" fillId="3" borderId="28" xfId="0" applyFont="1" applyFill="1" applyBorder="1" applyAlignment="1">
      <alignment horizontal="center" vertical="center"/>
    </xf>
    <xf numFmtId="0" fontId="19" fillId="0" borderId="26" xfId="1" applyBorder="1"/>
    <xf numFmtId="3" fontId="3" fillId="0" borderId="5" xfId="0" applyNumberFormat="1" applyFont="1" applyBorder="1"/>
    <xf numFmtId="0" fontId="3" fillId="3" borderId="19" xfId="0" applyFont="1" applyFill="1" applyBorder="1"/>
    <xf numFmtId="168" fontId="21" fillId="0" borderId="22" xfId="2" applyNumberFormat="1" applyFont="1" applyBorder="1"/>
    <xf numFmtId="165" fontId="3" fillId="5" borderId="23" xfId="0" applyNumberFormat="1" applyFont="1" applyFill="1" applyBorder="1"/>
    <xf numFmtId="165" fontId="3" fillId="3" borderId="23" xfId="0" applyNumberFormat="1" applyFont="1" applyFill="1" applyBorder="1"/>
    <xf numFmtId="165" fontId="3" fillId="7" borderId="23" xfId="0" applyNumberFormat="1" applyFont="1" applyFill="1" applyBorder="1"/>
    <xf numFmtId="167" fontId="3" fillId="7" borderId="23" xfId="0" applyNumberFormat="1" applyFont="1" applyFill="1" applyBorder="1"/>
    <xf numFmtId="167" fontId="3" fillId="3" borderId="23" xfId="0" applyNumberFormat="1" applyFont="1" applyFill="1" applyBorder="1"/>
    <xf numFmtId="167" fontId="3" fillId="7" borderId="24" xfId="0" applyNumberFormat="1" applyFont="1" applyFill="1" applyBorder="1"/>
    <xf numFmtId="0" fontId="3" fillId="7" borderId="23" xfId="0" applyFont="1" applyFill="1" applyBorder="1"/>
    <xf numFmtId="0" fontId="16" fillId="3" borderId="21" xfId="0" applyFont="1" applyFill="1" applyBorder="1" applyAlignment="1">
      <alignment horizontal="center" vertical="center"/>
    </xf>
    <xf numFmtId="166" fontId="14" fillId="0" borderId="18" xfId="0" applyNumberFormat="1" applyFont="1" applyBorder="1" applyAlignment="1">
      <alignment horizontal="left"/>
    </xf>
    <xf numFmtId="167" fontId="4" fillId="6" borderId="18" xfId="0" applyNumberFormat="1" applyFont="1" applyFill="1" applyBorder="1"/>
    <xf numFmtId="168" fontId="0" fillId="0" borderId="26" xfId="2" applyNumberFormat="1" applyFont="1" applyBorder="1"/>
    <xf numFmtId="0" fontId="2" fillId="0" borderId="26" xfId="0" applyFont="1" applyBorder="1"/>
    <xf numFmtId="0" fontId="17" fillId="0" borderId="5" xfId="0" applyFont="1" applyBorder="1"/>
    <xf numFmtId="3" fontId="17" fillId="0" borderId="5" xfId="0" applyNumberFormat="1" applyFont="1" applyBorder="1"/>
    <xf numFmtId="0" fontId="17" fillId="3" borderId="1" xfId="0" applyFont="1" applyFill="1" applyBorder="1"/>
    <xf numFmtId="169" fontId="7" fillId="0" borderId="5" xfId="0" applyNumberFormat="1" applyFont="1" applyBorder="1" applyAlignment="1">
      <alignment horizontal="right"/>
    </xf>
    <xf numFmtId="165" fontId="22" fillId="0" borderId="5" xfId="0" applyNumberFormat="1" applyFont="1" applyBorder="1"/>
    <xf numFmtId="0" fontId="17" fillId="0" borderId="26" xfId="0" applyFont="1" applyBorder="1"/>
    <xf numFmtId="0" fontId="3" fillId="0" borderId="15" xfId="0" applyFont="1" applyBorder="1"/>
    <xf numFmtId="14" fontId="23" fillId="0" borderId="5" xfId="0" applyNumberFormat="1" applyFont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/>
    </xf>
    <xf numFmtId="0" fontId="3" fillId="0" borderId="24" xfId="0" applyFont="1" applyBorder="1"/>
    <xf numFmtId="0" fontId="0" fillId="0" borderId="29" xfId="0" applyBorder="1"/>
    <xf numFmtId="166" fontId="3" fillId="0" borderId="26" xfId="0" applyNumberFormat="1" applyFont="1" applyBorder="1" applyAlignment="1">
      <alignment horizontal="center"/>
    </xf>
    <xf numFmtId="3" fontId="0" fillId="0" borderId="0" xfId="0" applyNumberFormat="1"/>
    <xf numFmtId="3" fontId="3" fillId="0" borderId="22" xfId="0" applyNumberFormat="1" applyFont="1" applyBorder="1"/>
    <xf numFmtId="0" fontId="3" fillId="3" borderId="22" xfId="0" applyFont="1" applyFill="1" applyBorder="1"/>
    <xf numFmtId="0" fontId="17" fillId="0" borderId="22" xfId="0" applyFont="1" applyBorder="1"/>
    <xf numFmtId="166" fontId="3" fillId="4" borderId="19" xfId="0" applyNumberFormat="1" applyFont="1" applyFill="1" applyBorder="1"/>
    <xf numFmtId="166" fontId="3" fillId="0" borderId="19" xfId="0" applyNumberFormat="1" applyFont="1" applyBorder="1" applyAlignment="1">
      <alignment horizontal="right"/>
    </xf>
    <xf numFmtId="0" fontId="3" fillId="8" borderId="26" xfId="0" applyFont="1" applyFill="1" applyBorder="1"/>
    <xf numFmtId="0" fontId="17" fillId="8" borderId="26" xfId="0" applyFont="1" applyFill="1" applyBorder="1"/>
    <xf numFmtId="166" fontId="3" fillId="9" borderId="26" xfId="0" applyNumberFormat="1" applyFont="1" applyFill="1" applyBorder="1" applyAlignment="1">
      <alignment horizontal="center"/>
    </xf>
    <xf numFmtId="166" fontId="3" fillId="10" borderId="26" xfId="0" applyNumberFormat="1" applyFont="1" applyFill="1" applyBorder="1"/>
    <xf numFmtId="0" fontId="0" fillId="9" borderId="26" xfId="0" applyFill="1" applyBorder="1"/>
    <xf numFmtId="0" fontId="3" fillId="0" borderId="26" xfId="0" applyFont="1" applyBorder="1"/>
    <xf numFmtId="14" fontId="23" fillId="0" borderId="19" xfId="0" applyNumberFormat="1" applyFont="1" applyBorder="1" applyAlignment="1">
      <alignment horizontal="center" vertical="center" wrapText="1"/>
    </xf>
    <xf numFmtId="166" fontId="3" fillId="0" borderId="26" xfId="0" applyNumberFormat="1" applyFont="1" applyBorder="1"/>
    <xf numFmtId="166" fontId="3" fillId="4" borderId="26" xfId="0" applyNumberFormat="1" applyFont="1" applyFill="1" applyBorder="1"/>
    <xf numFmtId="166" fontId="3" fillId="4" borderId="21" xfId="0" applyNumberFormat="1" applyFont="1" applyFill="1" applyBorder="1"/>
    <xf numFmtId="0" fontId="3" fillId="0" borderId="21" xfId="0" applyFont="1" applyBorder="1" applyAlignment="1">
      <alignment horizontal="center"/>
    </xf>
    <xf numFmtId="0" fontId="3" fillId="11" borderId="5" xfId="0" applyFont="1" applyFill="1" applyBorder="1"/>
    <xf numFmtId="166" fontId="3" fillId="12" borderId="5" xfId="0" applyNumberFormat="1" applyFont="1" applyFill="1" applyBorder="1" applyAlignment="1">
      <alignment horizontal="center"/>
    </xf>
    <xf numFmtId="166" fontId="3" fillId="13" borderId="5" xfId="0" applyNumberFormat="1" applyFont="1" applyFill="1" applyBorder="1"/>
    <xf numFmtId="0" fontId="3" fillId="11" borderId="19" xfId="0" applyFont="1" applyFill="1" applyBorder="1"/>
    <xf numFmtId="3" fontId="3" fillId="0" borderId="26" xfId="0" applyNumberFormat="1" applyFont="1" applyBorder="1"/>
    <xf numFmtId="3" fontId="0" fillId="0" borderId="26" xfId="0" applyNumberFormat="1" applyBorder="1"/>
    <xf numFmtId="166" fontId="3" fillId="12" borderId="19" xfId="0" applyNumberFormat="1" applyFont="1" applyFill="1" applyBorder="1" applyAlignment="1">
      <alignment horizontal="center"/>
    </xf>
    <xf numFmtId="166" fontId="3" fillId="12" borderId="21" xfId="0" applyNumberFormat="1" applyFont="1" applyFill="1" applyBorder="1" applyAlignment="1">
      <alignment horizontal="center"/>
    </xf>
    <xf numFmtId="0" fontId="0" fillId="0" borderId="31" xfId="0" applyBorder="1"/>
    <xf numFmtId="0" fontId="3" fillId="0" borderId="32" xfId="0" applyFont="1" applyBorder="1"/>
    <xf numFmtId="0" fontId="3" fillId="0" borderId="33" xfId="0" applyFont="1" applyBorder="1"/>
    <xf numFmtId="0" fontId="3" fillId="0" borderId="22" xfId="0" applyFont="1" applyBorder="1"/>
    <xf numFmtId="0" fontId="3" fillId="0" borderId="25" xfId="0" applyFont="1" applyBorder="1"/>
    <xf numFmtId="167" fontId="3" fillId="0" borderId="21" xfId="0" applyNumberFormat="1" applyFont="1" applyBorder="1"/>
    <xf numFmtId="14" fontId="25" fillId="0" borderId="26" xfId="0" applyNumberFormat="1" applyFont="1" applyBorder="1" applyAlignment="1">
      <alignment horizontal="left" vertical="top"/>
    </xf>
    <xf numFmtId="14" fontId="25" fillId="14" borderId="26" xfId="0" applyNumberFormat="1" applyFont="1" applyFill="1" applyBorder="1" applyAlignment="1">
      <alignment horizontal="left" vertical="top"/>
    </xf>
    <xf numFmtId="0" fontId="25" fillId="0" borderId="26" xfId="0" applyFont="1" applyBorder="1" applyAlignment="1">
      <alignment horizontal="left" vertical="top"/>
    </xf>
    <xf numFmtId="0" fontId="26" fillId="0" borderId="26" xfId="0" applyFont="1" applyBorder="1" applyAlignment="1">
      <alignment vertical="top" wrapText="1"/>
    </xf>
    <xf numFmtId="0" fontId="25" fillId="14" borderId="26" xfId="0" applyFont="1" applyFill="1" applyBorder="1" applyAlignment="1">
      <alignment horizontal="left" vertical="top"/>
    </xf>
    <xf numFmtId="14" fontId="25" fillId="0" borderId="22" xfId="0" applyNumberFormat="1" applyFont="1" applyBorder="1" applyAlignment="1">
      <alignment horizontal="left" vertical="top"/>
    </xf>
    <xf numFmtId="0" fontId="3" fillId="0" borderId="19" xfId="0" applyFont="1" applyBorder="1" applyAlignment="1">
      <alignment horizontal="right"/>
    </xf>
    <xf numFmtId="0" fontId="3" fillId="5" borderId="19" xfId="0" applyFont="1" applyFill="1" applyBorder="1" applyAlignment="1">
      <alignment horizontal="right"/>
    </xf>
    <xf numFmtId="0" fontId="3" fillId="3" borderId="19" xfId="0" applyFont="1" applyFill="1" applyBorder="1" applyAlignment="1">
      <alignment horizontal="right"/>
    </xf>
    <xf numFmtId="0" fontId="3" fillId="3" borderId="25" xfId="0" applyFont="1" applyFill="1" applyBorder="1" applyAlignment="1">
      <alignment horizontal="right"/>
    </xf>
    <xf numFmtId="0" fontId="17" fillId="3" borderId="19" xfId="0" applyFont="1" applyFill="1" applyBorder="1" applyAlignment="1">
      <alignment horizontal="right"/>
    </xf>
    <xf numFmtId="166" fontId="14" fillId="0" borderId="5" xfId="0" applyNumberFormat="1" applyFont="1" applyBorder="1" applyAlignment="1">
      <alignment horizontal="right"/>
    </xf>
    <xf numFmtId="0" fontId="1" fillId="0" borderId="26" xfId="0" applyFont="1" applyBorder="1"/>
    <xf numFmtId="170" fontId="25" fillId="14" borderId="26" xfId="3" applyNumberFormat="1" applyFont="1" applyFill="1" applyBorder="1" applyAlignment="1">
      <alignment horizontal="right" vertical="top"/>
    </xf>
    <xf numFmtId="0" fontId="25" fillId="14" borderId="5" xfId="0" applyFont="1" applyFill="1" applyBorder="1" applyAlignment="1">
      <alignment horizontal="left" vertical="top"/>
    </xf>
    <xf numFmtId="170" fontId="25" fillId="0" borderId="26" xfId="3" applyNumberFormat="1" applyFont="1" applyBorder="1" applyAlignment="1">
      <alignment horizontal="right" vertical="top"/>
    </xf>
    <xf numFmtId="0" fontId="0" fillId="0" borderId="0" xfId="0" applyAlignment="1">
      <alignment horizontal="right"/>
    </xf>
    <xf numFmtId="0" fontId="4" fillId="0" borderId="22" xfId="0" applyFont="1" applyBorder="1" applyAlignment="1">
      <alignment horizontal="center"/>
    </xf>
    <xf numFmtId="0" fontId="5" fillId="0" borderId="22" xfId="0" applyFont="1" applyBorder="1"/>
    <xf numFmtId="0" fontId="4" fillId="3" borderId="2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10" fillId="3" borderId="10" xfId="0" applyFont="1" applyFill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3" fillId="2" borderId="6" xfId="0" applyFont="1" applyFill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3" xfId="0" applyFont="1" applyBorder="1"/>
    <xf numFmtId="0" fontId="5" fillId="0" borderId="14" xfId="0" applyFont="1" applyBorder="1"/>
    <xf numFmtId="0" fontId="3" fillId="0" borderId="10" xfId="0" applyFont="1" applyBorder="1" applyAlignment="1">
      <alignment horizontal="center"/>
    </xf>
    <xf numFmtId="0" fontId="24" fillId="3" borderId="10" xfId="0" applyFont="1" applyFill="1" applyBorder="1" applyAlignment="1">
      <alignment horizontal="center" vertical="center"/>
    </xf>
    <xf numFmtId="0" fontId="5" fillId="0" borderId="30" xfId="0" applyFont="1" applyBorder="1"/>
    <xf numFmtId="0" fontId="15" fillId="3" borderId="10" xfId="0" applyFont="1" applyFill="1" applyBorder="1" applyAlignment="1">
      <alignment horizontal="center"/>
    </xf>
  </cellXfs>
  <cellStyles count="4">
    <cellStyle name="Hipervínculo" xfId="1" builtinId="8"/>
    <cellStyle name="Millares" xfId="2" builtinId="3"/>
    <cellStyle name="Moneda" xfId="3" builtinId="4"/>
    <cellStyle name="Normal" xfId="0" builtinId="0"/>
  </cellStyles>
  <dxfs count="11">
    <dxf>
      <alignment horizontal="right" vertical="bottom" textRotation="0" wrapText="0" indent="0" justifyLastLine="0" shrinkToFit="0" readingOrder="0"/>
    </dxf>
    <dxf>
      <border outline="0">
        <right style="thin">
          <color rgb="FF000000"/>
        </right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1"/>
          <bgColor theme="1"/>
        </patternFill>
      </fill>
    </dxf>
  </dxfs>
  <tableStyles count="3">
    <tableStyle name="SEPTIEMBRE-style" pivot="0" count="3">
      <tableStyleElement type="headerRow" dxfId="10"/>
      <tableStyleElement type="firstRowStripe" dxfId="9"/>
      <tableStyleElement type="secondRowStripe" dxfId="8"/>
    </tableStyle>
    <tableStyle name="TOTAL INGRESOS Y GASTOS-style" pivot="0" count="3">
      <tableStyleElement type="headerRow" dxfId="7"/>
      <tableStyleElement type="firstRowStripe" dxfId="6"/>
      <tableStyleElement type="secondRowStripe" dxfId="5"/>
    </tableStyle>
    <tableStyle name="TOTAL INGRESOS Y GASTOS-style 2" pivot="0" count="3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1</xdr:row>
      <xdr:rowOff>47625</xdr:rowOff>
    </xdr:from>
    <xdr:ext cx="1743075" cy="4095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</xdr:colOff>
      <xdr:row>1</xdr:row>
      <xdr:rowOff>28575</xdr:rowOff>
    </xdr:from>
    <xdr:ext cx="2314575" cy="7239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</xdr:colOff>
      <xdr:row>1</xdr:row>
      <xdr:rowOff>28575</xdr:rowOff>
    </xdr:from>
    <xdr:ext cx="2314575" cy="7239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xmlns="" id="{8A593048-F071-46D0-AF10-2F5F27D3067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09925" y="219075"/>
          <a:ext cx="2314575" cy="7239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</xdr:colOff>
      <xdr:row>1</xdr:row>
      <xdr:rowOff>28575</xdr:rowOff>
    </xdr:from>
    <xdr:ext cx="2314575" cy="7239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xmlns="" id="{F166BD4D-C8BC-47CE-BE6D-C91D433BBC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09925" y="219075"/>
          <a:ext cx="2314575" cy="7239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</xdr:colOff>
      <xdr:row>1</xdr:row>
      <xdr:rowOff>28575</xdr:rowOff>
    </xdr:from>
    <xdr:ext cx="2314575" cy="7239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xmlns="" id="{248C47F7-CF7D-4AF2-85F8-2432B7DFEE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09925" y="219075"/>
          <a:ext cx="2314575" cy="7239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</xdr:colOff>
      <xdr:row>1</xdr:row>
      <xdr:rowOff>28575</xdr:rowOff>
    </xdr:from>
    <xdr:ext cx="2314575" cy="7239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xmlns="" id="{3D69C68E-1FDF-4D1C-8238-4C18B02D8A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09925" y="219075"/>
          <a:ext cx="2314575" cy="7239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</xdr:colOff>
      <xdr:row>1</xdr:row>
      <xdr:rowOff>19050</xdr:rowOff>
    </xdr:from>
    <xdr:ext cx="2314575" cy="7239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xmlns="" id="{C1068995-777A-4416-B166-3E74FF273CC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09925" y="209550"/>
          <a:ext cx="2314575" cy="72390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523875</xdr:colOff>
      <xdr:row>1</xdr:row>
      <xdr:rowOff>28575</xdr:rowOff>
    </xdr:from>
    <xdr:ext cx="2314575" cy="7239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id="2" name="Table_2" displayName="Table_2" ref="A9:H90">
  <tableColumns count="8">
    <tableColumn id="1" name="FECHA"/>
    <tableColumn id="2" name="NOMBRE" dataDxfId="1"/>
    <tableColumn id="3" name="VEHICULO" dataDxfId="0"/>
    <tableColumn id="4" name="NOTAS"/>
    <tableColumn id="5" name="INGRESOS"/>
    <tableColumn id="6" name="EGRESOS"/>
    <tableColumn id="7" name="SALDO EN CAJA"/>
    <tableColumn id="8" name="LINK DE UBICACIÓN"/>
  </tableColumns>
  <tableStyleInfo name="TOTAL INGRESOS Y GAS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0soqlyXgQEDPWWWLKUGGJU4v5nEsQ2Vb/view?usp=drive_link" TargetMode="External"/><Relationship Id="rId3" Type="http://schemas.openxmlformats.org/officeDocument/2006/relationships/hyperlink" Target="https://drive.google.com/file/d/19KYvFwcSM8AOPZ-aEFuSFJdPHOuOK5Tx/view?usp=drive_link" TargetMode="External"/><Relationship Id="rId7" Type="http://schemas.openxmlformats.org/officeDocument/2006/relationships/hyperlink" Target="https://drive.google.com/file/d/1M2jT5EvWDO0r-p-_zJ1JPtM0ms74yGGx/view?usp=drive_link" TargetMode="External"/><Relationship Id="rId2" Type="http://schemas.openxmlformats.org/officeDocument/2006/relationships/hyperlink" Target="https://drive.google.com/file/d/1M2jT5EvWDO0r-p-_zJ1JPtM0ms74yGGx/view?usp=drive_link" TargetMode="External"/><Relationship Id="rId1" Type="http://schemas.openxmlformats.org/officeDocument/2006/relationships/hyperlink" Target="https://drive.google.com/file/d/10soqlyXgQEDPWWWLKUGGJU4v5nEsQ2Vb/view?usp=drive_link" TargetMode="External"/><Relationship Id="rId6" Type="http://schemas.openxmlformats.org/officeDocument/2006/relationships/hyperlink" Target="https://drive.google.com/file/d/1YV_JtyO7cIOxaTAv86F5bUeB59aHMnqo/view?usp=drive_link" TargetMode="External"/><Relationship Id="rId5" Type="http://schemas.openxmlformats.org/officeDocument/2006/relationships/hyperlink" Target="https://drive.google.com/file/d/10soqlyXgQEDPWWWLKUGGJU4v5nEsQ2Vb/view?usp=drive_link" TargetMode="External"/><Relationship Id="rId4" Type="http://schemas.openxmlformats.org/officeDocument/2006/relationships/hyperlink" Target="https://drive.google.com/file/d/1YV_JtyO7cIOxaTAv86F5bUeB59aHMnqo/view?usp=drive_link" TargetMode="Externa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r3CC9Xc5BJVE8MPznzOhHOS_eJsU9KX2/view?usp=drive_link" TargetMode="External"/><Relationship Id="rId13" Type="http://schemas.openxmlformats.org/officeDocument/2006/relationships/hyperlink" Target="https://drive.google.com/file/d/1vJMsaMj86s6HoSifpMgkpv1GcdDBNQ-V/view?usp=drive_link" TargetMode="External"/><Relationship Id="rId18" Type="http://schemas.openxmlformats.org/officeDocument/2006/relationships/hyperlink" Target="https://drive.google.com/file/d/1xnfrsZEidLnfB9xo7cLzE4RaSg7rDvkj/view?usp=drive_link" TargetMode="External"/><Relationship Id="rId3" Type="http://schemas.openxmlformats.org/officeDocument/2006/relationships/hyperlink" Target="https://drive.google.com/file/d/1VtDlVtosaCHct7WdKLa7gYeSfLxa_iE8/view?usp=drive_link" TargetMode="External"/><Relationship Id="rId21" Type="http://schemas.openxmlformats.org/officeDocument/2006/relationships/hyperlink" Target="https://drive.google.com/file/d/1E7lxIzBPk-q1B0Ws83zhB_PXMqa1z5tx/view?usp=drive_link" TargetMode="External"/><Relationship Id="rId7" Type="http://schemas.openxmlformats.org/officeDocument/2006/relationships/hyperlink" Target="https://drive.google.com/file/d/1xnfrsZEidLnfB9xo7cLzE4RaSg7rDvkj/view?usp=drive_link" TargetMode="External"/><Relationship Id="rId12" Type="http://schemas.openxmlformats.org/officeDocument/2006/relationships/hyperlink" Target="https://drive.google.com/file/d/1TaKpHAyYB6sE1ZeP-JlfS2Kv0zJJCVHW/view?usp=drive_link" TargetMode="External"/><Relationship Id="rId17" Type="http://schemas.openxmlformats.org/officeDocument/2006/relationships/hyperlink" Target="https://drive.google.com/file/d/12isb3cWkv7T_C2kcvKACDA6rPSiiITR1/view?usp=drive_link" TargetMode="External"/><Relationship Id="rId2" Type="http://schemas.openxmlformats.org/officeDocument/2006/relationships/hyperlink" Target="https://drive.google.com/file/d/1vJMsaMj86s6HoSifpMgkpv1GcdDBNQ-V/view?usp=drive_link" TargetMode="External"/><Relationship Id="rId16" Type="http://schemas.openxmlformats.org/officeDocument/2006/relationships/hyperlink" Target="https://drive.google.com/file/d/1OxOjEJQU6tBAry-UK4GEbNn6D7yHHxak/view?usp=drive_link" TargetMode="External"/><Relationship Id="rId20" Type="http://schemas.openxmlformats.org/officeDocument/2006/relationships/hyperlink" Target="https://drive.google.com/file/d/1KSVjdj0-sYvRGdVlckXXVVJ5CkHdkjSo/view?usp=drive_link" TargetMode="External"/><Relationship Id="rId1" Type="http://schemas.openxmlformats.org/officeDocument/2006/relationships/hyperlink" Target="https://drive.google.com/file/d/1TaKpHAyYB6sE1ZeP-JlfS2Kv0zJJCVHW/view?usp=drive_link" TargetMode="External"/><Relationship Id="rId6" Type="http://schemas.openxmlformats.org/officeDocument/2006/relationships/hyperlink" Target="https://drive.google.com/file/d/12isb3cWkv7T_C2kcvKACDA6rPSiiITR1/view?usp=drive_link" TargetMode="External"/><Relationship Id="rId11" Type="http://schemas.openxmlformats.org/officeDocument/2006/relationships/hyperlink" Target="https://drive.google.com/file/d/1sTHNNxBfixzjnJnJ2LUYc6z-uREdHl_A/view?usp=drive_link" TargetMode="External"/><Relationship Id="rId5" Type="http://schemas.openxmlformats.org/officeDocument/2006/relationships/hyperlink" Target="https://drive.google.com/file/d/1OxOjEJQU6tBAry-UK4GEbNn6D7yHHxak/view?usp=drive_link" TargetMode="External"/><Relationship Id="rId15" Type="http://schemas.openxmlformats.org/officeDocument/2006/relationships/hyperlink" Target="https://drive.google.com/file/d/18LF3rSMW6C7w4HH0qxt5N2og5afL_IBu/view?usp=drive_link" TargetMode="External"/><Relationship Id="rId10" Type="http://schemas.openxmlformats.org/officeDocument/2006/relationships/hyperlink" Target="https://drive.google.com/file/d/1E7lxIzBPk-q1B0Ws83zhB_PXMqa1z5tx/view?usp=drive_link" TargetMode="External"/><Relationship Id="rId19" Type="http://schemas.openxmlformats.org/officeDocument/2006/relationships/hyperlink" Target="https://drive.google.com/file/d/1r3CC9Xc5BJVE8MPznzOhHOS_eJsU9KX2/view?usp=drive_link" TargetMode="External"/><Relationship Id="rId4" Type="http://schemas.openxmlformats.org/officeDocument/2006/relationships/hyperlink" Target="https://drive.google.com/file/d/18LF3rSMW6C7w4HH0qxt5N2og5afL_IBu/view?usp=drive_link" TargetMode="External"/><Relationship Id="rId9" Type="http://schemas.openxmlformats.org/officeDocument/2006/relationships/hyperlink" Target="https://drive.google.com/file/d/1KSVjdj0-sYvRGdVlckXXVVJ5CkHdkjSo/view?usp=drive_link" TargetMode="External"/><Relationship Id="rId14" Type="http://schemas.openxmlformats.org/officeDocument/2006/relationships/hyperlink" Target="https://drive.google.com/file/d/1VtDlVtosaCHct7WdKLa7gYeSfLxa_iE8/view?usp=drive_link" TargetMode="External"/><Relationship Id="rId22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r3CC9Xc5BJVE8MPznzOhHOS_eJsU9KX2/view?usp=drive_link" TargetMode="External"/><Relationship Id="rId13" Type="http://schemas.openxmlformats.org/officeDocument/2006/relationships/hyperlink" Target="https://drive.google.com/file/d/1vJMsaMj86s6HoSifpMgkpv1GcdDBNQ-V/view?usp=drive_link" TargetMode="External"/><Relationship Id="rId18" Type="http://schemas.openxmlformats.org/officeDocument/2006/relationships/hyperlink" Target="https://drive.google.com/file/d/1xnfrsZEidLnfB9xo7cLzE4RaSg7rDvkj/view?usp=drive_link" TargetMode="External"/><Relationship Id="rId3" Type="http://schemas.openxmlformats.org/officeDocument/2006/relationships/hyperlink" Target="https://drive.google.com/file/d/1VtDlVtosaCHct7WdKLa7gYeSfLxa_iE8/view?usp=drive_link" TargetMode="External"/><Relationship Id="rId21" Type="http://schemas.openxmlformats.org/officeDocument/2006/relationships/hyperlink" Target="https://drive.google.com/file/d/1E7lxIzBPk-q1B0Ws83zhB_PXMqa1z5tx/view?usp=drive_link" TargetMode="External"/><Relationship Id="rId7" Type="http://schemas.openxmlformats.org/officeDocument/2006/relationships/hyperlink" Target="https://drive.google.com/file/d/1xnfrsZEidLnfB9xo7cLzE4RaSg7rDvkj/view?usp=drive_link" TargetMode="External"/><Relationship Id="rId12" Type="http://schemas.openxmlformats.org/officeDocument/2006/relationships/hyperlink" Target="https://drive.google.com/file/d/1TaKpHAyYB6sE1ZeP-JlfS2Kv0zJJCVHW/view?usp=drive_link" TargetMode="External"/><Relationship Id="rId17" Type="http://schemas.openxmlformats.org/officeDocument/2006/relationships/hyperlink" Target="https://drive.google.com/file/d/12isb3cWkv7T_C2kcvKACDA6rPSiiITR1/view?usp=drive_link" TargetMode="External"/><Relationship Id="rId2" Type="http://schemas.openxmlformats.org/officeDocument/2006/relationships/hyperlink" Target="https://drive.google.com/file/d/1vJMsaMj86s6HoSifpMgkpv1GcdDBNQ-V/view?usp=drive_link" TargetMode="External"/><Relationship Id="rId16" Type="http://schemas.openxmlformats.org/officeDocument/2006/relationships/hyperlink" Target="https://drive.google.com/file/d/1OxOjEJQU6tBAry-UK4GEbNn6D7yHHxak/view?usp=drive_link" TargetMode="External"/><Relationship Id="rId20" Type="http://schemas.openxmlformats.org/officeDocument/2006/relationships/hyperlink" Target="https://drive.google.com/file/d/1KSVjdj0-sYvRGdVlckXXVVJ5CkHdkjSo/view?usp=drive_link" TargetMode="External"/><Relationship Id="rId1" Type="http://schemas.openxmlformats.org/officeDocument/2006/relationships/hyperlink" Target="https://drive.google.com/file/d/1TaKpHAyYB6sE1ZeP-JlfS2Kv0zJJCVHW/view?usp=drive_link" TargetMode="External"/><Relationship Id="rId6" Type="http://schemas.openxmlformats.org/officeDocument/2006/relationships/hyperlink" Target="https://drive.google.com/file/d/12isb3cWkv7T_C2kcvKACDA6rPSiiITR1/view?usp=drive_link" TargetMode="External"/><Relationship Id="rId11" Type="http://schemas.openxmlformats.org/officeDocument/2006/relationships/hyperlink" Target="https://drive.google.com/file/d/1sTHNNxBfixzjnJnJ2LUYc6z-uREdHl_A/view?usp=drive_link" TargetMode="External"/><Relationship Id="rId5" Type="http://schemas.openxmlformats.org/officeDocument/2006/relationships/hyperlink" Target="https://drive.google.com/file/d/1OxOjEJQU6tBAry-UK4GEbNn6D7yHHxak/view?usp=drive_link" TargetMode="External"/><Relationship Id="rId15" Type="http://schemas.openxmlformats.org/officeDocument/2006/relationships/hyperlink" Target="https://drive.google.com/file/d/18LF3rSMW6C7w4HH0qxt5N2og5afL_IBu/view?usp=drive_link" TargetMode="External"/><Relationship Id="rId10" Type="http://schemas.openxmlformats.org/officeDocument/2006/relationships/hyperlink" Target="https://drive.google.com/file/d/1E7lxIzBPk-q1B0Ws83zhB_PXMqa1z5tx/view?usp=drive_link" TargetMode="External"/><Relationship Id="rId19" Type="http://schemas.openxmlformats.org/officeDocument/2006/relationships/hyperlink" Target="https://drive.google.com/file/d/1r3CC9Xc5BJVE8MPznzOhHOS_eJsU9KX2/view?usp=drive_link" TargetMode="External"/><Relationship Id="rId4" Type="http://schemas.openxmlformats.org/officeDocument/2006/relationships/hyperlink" Target="https://drive.google.com/file/d/18LF3rSMW6C7w4HH0qxt5N2og5afL_IBu/view?usp=drive_link" TargetMode="External"/><Relationship Id="rId9" Type="http://schemas.openxmlformats.org/officeDocument/2006/relationships/hyperlink" Target="https://drive.google.com/file/d/1KSVjdj0-sYvRGdVlckXXVVJ5CkHdkjSo/view?usp=drive_link" TargetMode="External"/><Relationship Id="rId14" Type="http://schemas.openxmlformats.org/officeDocument/2006/relationships/hyperlink" Target="https://drive.google.com/file/d/1VtDlVtosaCHct7WdKLa7gYeSfLxa_iE8/view?usp=drive_link" TargetMode="External"/><Relationship Id="rId22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0soqlyXgQEDPWWWLKUGGJU4v5nEsQ2Vb/view?usp=drive_link" TargetMode="External"/><Relationship Id="rId3" Type="http://schemas.openxmlformats.org/officeDocument/2006/relationships/hyperlink" Target="https://drive.google.com/file/d/19KYvFwcSM8AOPZ-aEFuSFJdPHOuOK5Tx/view?usp=drive_link" TargetMode="External"/><Relationship Id="rId7" Type="http://schemas.openxmlformats.org/officeDocument/2006/relationships/hyperlink" Target="https://drive.google.com/file/d/1M2jT5EvWDO0r-p-_zJ1JPtM0ms74yGGx/view?usp=drive_link" TargetMode="External"/><Relationship Id="rId2" Type="http://schemas.openxmlformats.org/officeDocument/2006/relationships/hyperlink" Target="https://drive.google.com/file/d/1M2jT5EvWDO0r-p-_zJ1JPtM0ms74yGGx/view?usp=drive_link" TargetMode="External"/><Relationship Id="rId1" Type="http://schemas.openxmlformats.org/officeDocument/2006/relationships/hyperlink" Target="https://drive.google.com/file/d/10soqlyXgQEDPWWWLKUGGJU4v5nEsQ2Vb/view?usp=drive_link" TargetMode="External"/><Relationship Id="rId6" Type="http://schemas.openxmlformats.org/officeDocument/2006/relationships/hyperlink" Target="https://drive.google.com/file/d/1YV_JtyO7cIOxaTAv86F5bUeB59aHMnqo/view?usp=drive_link" TargetMode="External"/><Relationship Id="rId5" Type="http://schemas.openxmlformats.org/officeDocument/2006/relationships/hyperlink" Target="https://drive.google.com/file/d/10soqlyXgQEDPWWWLKUGGJU4v5nEsQ2Vb/view?usp=drive_link" TargetMode="External"/><Relationship Id="rId4" Type="http://schemas.openxmlformats.org/officeDocument/2006/relationships/hyperlink" Target="https://drive.google.com/file/d/1YV_JtyO7cIOxaTAv86F5bUeB59aHMnqo/view?usp=drive_link" TargetMode="External"/><Relationship Id="rId9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r3CC9Xc5BJVE8MPznzOhHOS_eJsU9KX2/view?usp=drive_link" TargetMode="External"/><Relationship Id="rId13" Type="http://schemas.openxmlformats.org/officeDocument/2006/relationships/hyperlink" Target="https://drive.google.com/file/d/1vJMsaMj86s6HoSifpMgkpv1GcdDBNQ-V/view?usp=drive_link" TargetMode="External"/><Relationship Id="rId18" Type="http://schemas.openxmlformats.org/officeDocument/2006/relationships/hyperlink" Target="https://drive.google.com/file/d/1xnfrsZEidLnfB9xo7cLzE4RaSg7rDvkj/view?usp=drive_link" TargetMode="External"/><Relationship Id="rId3" Type="http://schemas.openxmlformats.org/officeDocument/2006/relationships/hyperlink" Target="https://drive.google.com/file/d/1VtDlVtosaCHct7WdKLa7gYeSfLxa_iE8/view?usp=drive_link" TargetMode="External"/><Relationship Id="rId21" Type="http://schemas.openxmlformats.org/officeDocument/2006/relationships/hyperlink" Target="https://drive.google.com/file/d/1E7lxIzBPk-q1B0Ws83zhB_PXMqa1z5tx/view?usp=drive_link" TargetMode="External"/><Relationship Id="rId7" Type="http://schemas.openxmlformats.org/officeDocument/2006/relationships/hyperlink" Target="https://drive.google.com/file/d/1xnfrsZEidLnfB9xo7cLzE4RaSg7rDvkj/view?usp=drive_link" TargetMode="External"/><Relationship Id="rId12" Type="http://schemas.openxmlformats.org/officeDocument/2006/relationships/hyperlink" Target="https://drive.google.com/file/d/1TaKpHAyYB6sE1ZeP-JlfS2Kv0zJJCVHW/view?usp=drive_link" TargetMode="External"/><Relationship Id="rId17" Type="http://schemas.openxmlformats.org/officeDocument/2006/relationships/hyperlink" Target="https://drive.google.com/file/d/12isb3cWkv7T_C2kcvKACDA6rPSiiITR1/view?usp=drive_link" TargetMode="External"/><Relationship Id="rId2" Type="http://schemas.openxmlformats.org/officeDocument/2006/relationships/hyperlink" Target="https://drive.google.com/file/d/1vJMsaMj86s6HoSifpMgkpv1GcdDBNQ-V/view?usp=drive_link" TargetMode="External"/><Relationship Id="rId16" Type="http://schemas.openxmlformats.org/officeDocument/2006/relationships/hyperlink" Target="https://drive.google.com/file/d/1OxOjEJQU6tBAry-UK4GEbNn6D7yHHxak/view?usp=drive_link" TargetMode="External"/><Relationship Id="rId20" Type="http://schemas.openxmlformats.org/officeDocument/2006/relationships/hyperlink" Target="https://drive.google.com/file/d/1KSVjdj0-sYvRGdVlckXXVVJ5CkHdkjSo/view?usp=drive_link" TargetMode="External"/><Relationship Id="rId1" Type="http://schemas.openxmlformats.org/officeDocument/2006/relationships/hyperlink" Target="https://drive.google.com/file/d/1TaKpHAyYB6sE1ZeP-JlfS2Kv0zJJCVHW/view?usp=drive_link" TargetMode="External"/><Relationship Id="rId6" Type="http://schemas.openxmlformats.org/officeDocument/2006/relationships/hyperlink" Target="https://drive.google.com/file/d/12isb3cWkv7T_C2kcvKACDA6rPSiiITR1/view?usp=drive_link" TargetMode="External"/><Relationship Id="rId11" Type="http://schemas.openxmlformats.org/officeDocument/2006/relationships/hyperlink" Target="https://drive.google.com/file/d/1sTHNNxBfixzjnJnJ2LUYc6z-uREdHl_A/view?usp=drive_link" TargetMode="External"/><Relationship Id="rId5" Type="http://schemas.openxmlformats.org/officeDocument/2006/relationships/hyperlink" Target="https://drive.google.com/file/d/1OxOjEJQU6tBAry-UK4GEbNn6D7yHHxak/view?usp=drive_link" TargetMode="External"/><Relationship Id="rId15" Type="http://schemas.openxmlformats.org/officeDocument/2006/relationships/hyperlink" Target="https://drive.google.com/file/d/18LF3rSMW6C7w4HH0qxt5N2og5afL_IBu/view?usp=drive_link" TargetMode="External"/><Relationship Id="rId10" Type="http://schemas.openxmlformats.org/officeDocument/2006/relationships/hyperlink" Target="https://drive.google.com/file/d/1E7lxIzBPk-q1B0Ws83zhB_PXMqa1z5tx/view?usp=drive_link" TargetMode="External"/><Relationship Id="rId19" Type="http://schemas.openxmlformats.org/officeDocument/2006/relationships/hyperlink" Target="https://drive.google.com/file/d/1r3CC9Xc5BJVE8MPznzOhHOS_eJsU9KX2/view?usp=drive_link" TargetMode="External"/><Relationship Id="rId4" Type="http://schemas.openxmlformats.org/officeDocument/2006/relationships/hyperlink" Target="https://drive.google.com/file/d/18LF3rSMW6C7w4HH0qxt5N2og5afL_IBu/view?usp=drive_link" TargetMode="External"/><Relationship Id="rId9" Type="http://schemas.openxmlformats.org/officeDocument/2006/relationships/hyperlink" Target="https://drive.google.com/file/d/1KSVjdj0-sYvRGdVlckXXVVJ5CkHdkjSo/view?usp=drive_link" TargetMode="External"/><Relationship Id="rId14" Type="http://schemas.openxmlformats.org/officeDocument/2006/relationships/hyperlink" Target="https://drive.google.com/file/d/1VtDlVtosaCHct7WdKLa7gYeSfLxa_iE8/view?usp=drive_link" TargetMode="External"/><Relationship Id="rId22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993"/>
  <sheetViews>
    <sheetView tabSelected="1" workbookViewId="0"/>
  </sheetViews>
  <sheetFormatPr baseColWidth="10" defaultColWidth="14.44140625" defaultRowHeight="15" customHeight="1"/>
  <cols>
    <col min="1" max="1" width="10.6640625" customWidth="1"/>
    <col min="2" max="2" width="19.109375" customWidth="1"/>
    <col min="3" max="3" width="16.6640625" bestFit="1" customWidth="1"/>
    <col min="4" max="4" width="15.5546875" customWidth="1"/>
    <col min="5" max="7" width="10.6640625" customWidth="1"/>
    <col min="8" max="8" width="16.33203125" customWidth="1"/>
    <col min="9" max="9" width="13.109375" customWidth="1"/>
    <col min="10" max="10" width="14.5546875" bestFit="1" customWidth="1"/>
    <col min="11" max="11" width="12.88671875" customWidth="1"/>
    <col min="12" max="13" width="24.6640625" customWidth="1"/>
    <col min="14" max="26" width="10.6640625" customWidth="1"/>
  </cols>
  <sheetData>
    <row r="1" spans="2:12" ht="14.4">
      <c r="D1" s="1"/>
      <c r="E1" s="1"/>
      <c r="I1" s="2"/>
      <c r="J1" s="2"/>
    </row>
    <row r="2" spans="2:12" ht="14.4">
      <c r="B2" s="3"/>
      <c r="C2" s="3"/>
      <c r="G2" s="2"/>
      <c r="H2" s="2"/>
    </row>
    <row r="3" spans="2:12" ht="14.4">
      <c r="B3" s="3"/>
      <c r="C3" s="3"/>
      <c r="G3" s="2"/>
      <c r="H3" s="2"/>
    </row>
    <row r="4" spans="2:12" ht="14.4">
      <c r="B4" s="3"/>
      <c r="C4" s="3"/>
      <c r="G4" s="2"/>
      <c r="H4" s="2"/>
    </row>
    <row r="6" spans="2:12" ht="15.6">
      <c r="H6" s="160" t="s">
        <v>27</v>
      </c>
      <c r="I6" s="160"/>
      <c r="J6" s="160"/>
    </row>
    <row r="7" spans="2:12" ht="15.6">
      <c r="B7" s="161" t="s">
        <v>0</v>
      </c>
      <c r="C7" s="162"/>
      <c r="D7" s="163"/>
      <c r="H7" s="4" t="s">
        <v>1</v>
      </c>
      <c r="I7" s="63" t="s">
        <v>2</v>
      </c>
      <c r="J7" s="63" t="s">
        <v>3</v>
      </c>
    </row>
    <row r="8" spans="2:12" ht="14.4">
      <c r="B8" s="4" t="s">
        <v>1</v>
      </c>
      <c r="C8" s="4" t="s">
        <v>2</v>
      </c>
      <c r="D8" s="4" t="s">
        <v>3</v>
      </c>
      <c r="H8" s="6" t="s">
        <v>34</v>
      </c>
      <c r="I8" s="65">
        <v>0</v>
      </c>
      <c r="J8" s="66">
        <v>0</v>
      </c>
    </row>
    <row r="9" spans="2:12" ht="14.4">
      <c r="B9" s="6" t="s">
        <v>34</v>
      </c>
      <c r="C9" s="7">
        <f>4250000+4179000+1600000</f>
        <v>10029000</v>
      </c>
      <c r="D9" s="8"/>
      <c r="H9" s="6" t="s">
        <v>35</v>
      </c>
      <c r="I9" s="65"/>
      <c r="J9" s="67"/>
      <c r="K9" s="9"/>
      <c r="L9" s="9"/>
    </row>
    <row r="10" spans="2:12" ht="14.4">
      <c r="B10" s="6" t="s">
        <v>35</v>
      </c>
      <c r="C10" s="7"/>
      <c r="D10" s="10"/>
      <c r="H10" s="6" t="s">
        <v>36</v>
      </c>
      <c r="I10" s="65"/>
      <c r="J10" s="67"/>
    </row>
    <row r="11" spans="2:12" ht="14.4">
      <c r="B11" s="6" t="s">
        <v>36</v>
      </c>
      <c r="C11" s="7"/>
      <c r="D11" s="10"/>
      <c r="H11" s="6" t="s">
        <v>37</v>
      </c>
      <c r="I11" s="65"/>
      <c r="J11" s="68"/>
    </row>
    <row r="12" spans="2:12" ht="14.4">
      <c r="B12" s="6" t="s">
        <v>37</v>
      </c>
      <c r="C12" s="7"/>
      <c r="D12" s="11"/>
      <c r="H12" s="6" t="s">
        <v>4</v>
      </c>
      <c r="I12" s="65"/>
      <c r="J12" s="68"/>
    </row>
    <row r="13" spans="2:12" ht="14.4">
      <c r="B13" s="6" t="s">
        <v>4</v>
      </c>
      <c r="C13" s="7"/>
      <c r="D13" s="11"/>
      <c r="H13" s="6" t="s">
        <v>5</v>
      </c>
      <c r="I13" s="65"/>
      <c r="J13" s="69"/>
    </row>
    <row r="14" spans="2:12" ht="14.4">
      <c r="B14" s="6" t="s">
        <v>5</v>
      </c>
      <c r="C14" s="7"/>
      <c r="D14" s="12"/>
      <c r="H14" s="6" t="s">
        <v>6</v>
      </c>
      <c r="I14" s="65"/>
      <c r="J14" s="69"/>
    </row>
    <row r="15" spans="2:12" ht="14.4">
      <c r="B15" s="6" t="s">
        <v>6</v>
      </c>
      <c r="C15" s="7"/>
      <c r="D15" s="12"/>
      <c r="H15" s="6" t="s">
        <v>7</v>
      </c>
      <c r="I15" s="65"/>
      <c r="J15" s="69"/>
    </row>
    <row r="16" spans="2:12" ht="14.4">
      <c r="B16" s="6" t="s">
        <v>7</v>
      </c>
      <c r="C16" s="7"/>
      <c r="D16" s="12"/>
      <c r="H16" s="6" t="s">
        <v>8</v>
      </c>
      <c r="I16" s="65"/>
      <c r="J16" s="69"/>
    </row>
    <row r="17" spans="2:13" ht="14.4">
      <c r="B17" s="6" t="s">
        <v>8</v>
      </c>
      <c r="C17" s="7"/>
      <c r="D17" s="12"/>
      <c r="H17" s="6" t="s">
        <v>9</v>
      </c>
      <c r="I17" s="65"/>
      <c r="J17" s="69"/>
    </row>
    <row r="18" spans="2:13" ht="14.4">
      <c r="B18" s="6" t="s">
        <v>9</v>
      </c>
      <c r="C18" s="7"/>
      <c r="D18" s="12"/>
      <c r="H18" s="6" t="s">
        <v>10</v>
      </c>
      <c r="I18" s="65"/>
      <c r="J18" s="69"/>
    </row>
    <row r="19" spans="2:13" ht="15" customHeight="1">
      <c r="B19" s="6" t="s">
        <v>10</v>
      </c>
      <c r="C19" s="7"/>
      <c r="D19" s="12"/>
      <c r="H19" s="6" t="s">
        <v>11</v>
      </c>
      <c r="I19" s="65"/>
      <c r="J19" s="69"/>
    </row>
    <row r="20" spans="2:13" ht="15" customHeight="1">
      <c r="B20" s="6" t="s">
        <v>11</v>
      </c>
      <c r="C20" s="7"/>
      <c r="D20" s="12"/>
    </row>
    <row r="25" spans="2:13" ht="15.6">
      <c r="B25" s="161" t="s">
        <v>12</v>
      </c>
      <c r="C25" s="162"/>
      <c r="D25" s="163"/>
      <c r="H25" s="160" t="s">
        <v>13</v>
      </c>
      <c r="I25" s="159"/>
      <c r="J25" s="159"/>
      <c r="K25" s="158"/>
      <c r="L25" s="159"/>
      <c r="M25" s="62"/>
    </row>
    <row r="26" spans="2:13" ht="14.4">
      <c r="B26" s="4" t="s">
        <v>1</v>
      </c>
      <c r="C26" s="4" t="s">
        <v>2</v>
      </c>
      <c r="D26" s="4" t="s">
        <v>3</v>
      </c>
      <c r="H26" s="63" t="s">
        <v>1</v>
      </c>
      <c r="I26" s="63" t="s">
        <v>2</v>
      </c>
      <c r="J26" s="63" t="s">
        <v>3</v>
      </c>
      <c r="K26" s="57"/>
      <c r="L26" s="57"/>
      <c r="M26" s="56"/>
    </row>
    <row r="27" spans="2:13" ht="14.4">
      <c r="B27" s="6" t="s">
        <v>34</v>
      </c>
      <c r="C27" s="101">
        <f>40000+500000+200000</f>
        <v>740000</v>
      </c>
      <c r="D27" s="8">
        <v>0</v>
      </c>
      <c r="H27" s="64" t="s">
        <v>34</v>
      </c>
      <c r="I27" s="65">
        <v>0</v>
      </c>
      <c r="J27" s="66">
        <v>0</v>
      </c>
      <c r="K27" s="61"/>
      <c r="L27" s="61"/>
      <c r="M27" s="57"/>
    </row>
    <row r="28" spans="2:13" ht="15.75" customHeight="1">
      <c r="B28" s="6" t="s">
        <v>35</v>
      </c>
      <c r="C28" s="7"/>
      <c r="D28" s="10"/>
      <c r="H28" s="64" t="s">
        <v>35</v>
      </c>
      <c r="I28" s="65"/>
      <c r="J28" s="67"/>
      <c r="K28" s="61"/>
      <c r="L28" s="61"/>
      <c r="M28" s="61"/>
    </row>
    <row r="29" spans="2:13" ht="15.75" customHeight="1">
      <c r="B29" s="6" t="s">
        <v>36</v>
      </c>
      <c r="C29" s="7"/>
      <c r="D29" s="10"/>
      <c r="H29" s="64" t="s">
        <v>36</v>
      </c>
      <c r="I29" s="65"/>
      <c r="J29" s="67"/>
      <c r="K29" s="61"/>
      <c r="L29" s="61"/>
      <c r="M29" s="61"/>
    </row>
    <row r="30" spans="2:13" ht="15.75" customHeight="1">
      <c r="B30" s="6" t="s">
        <v>37</v>
      </c>
      <c r="C30" s="7"/>
      <c r="D30" s="11"/>
      <c r="H30" s="64" t="s">
        <v>37</v>
      </c>
      <c r="I30" s="65"/>
      <c r="J30" s="68"/>
      <c r="K30" s="61"/>
      <c r="L30" s="61"/>
      <c r="M30" s="61"/>
    </row>
    <row r="31" spans="2:13" ht="15.75" customHeight="1">
      <c r="B31" s="6" t="s">
        <v>4</v>
      </c>
      <c r="C31" s="7"/>
      <c r="D31" s="11"/>
      <c r="H31" s="64" t="s">
        <v>4</v>
      </c>
      <c r="I31" s="65"/>
      <c r="J31" s="68"/>
      <c r="K31" s="61"/>
      <c r="L31" s="61"/>
      <c r="M31" s="61"/>
    </row>
    <row r="32" spans="2:13" ht="15.75" customHeight="1">
      <c r="B32" s="6" t="s">
        <v>5</v>
      </c>
      <c r="C32" s="7"/>
      <c r="D32" s="12"/>
      <c r="H32" s="64" t="s">
        <v>5</v>
      </c>
      <c r="I32" s="65"/>
      <c r="J32" s="69"/>
      <c r="K32" s="61"/>
      <c r="L32" s="61"/>
      <c r="M32" s="61"/>
    </row>
    <row r="33" spans="2:13" ht="15.75" customHeight="1">
      <c r="B33" s="6" t="s">
        <v>6</v>
      </c>
      <c r="C33" s="7"/>
      <c r="D33" s="12"/>
      <c r="H33" s="64" t="s">
        <v>6</v>
      </c>
      <c r="I33" s="65"/>
      <c r="J33" s="69"/>
      <c r="K33" s="61"/>
      <c r="L33" s="61"/>
      <c r="M33" s="61"/>
    </row>
    <row r="34" spans="2:13" ht="15.75" customHeight="1">
      <c r="B34" s="6" t="s">
        <v>7</v>
      </c>
      <c r="C34" s="7"/>
      <c r="D34" s="12"/>
      <c r="H34" s="64" t="s">
        <v>7</v>
      </c>
      <c r="I34" s="65"/>
      <c r="J34" s="69"/>
      <c r="K34" s="61"/>
      <c r="L34" s="61"/>
      <c r="M34" s="61"/>
    </row>
    <row r="35" spans="2:13" ht="15.75" customHeight="1">
      <c r="B35" s="6" t="s">
        <v>8</v>
      </c>
      <c r="C35" s="7"/>
      <c r="D35" s="12"/>
      <c r="H35" s="64" t="s">
        <v>8</v>
      </c>
      <c r="I35" s="65"/>
      <c r="J35" s="69"/>
      <c r="K35" s="61"/>
      <c r="L35" s="61"/>
      <c r="M35" s="61"/>
    </row>
    <row r="36" spans="2:13" ht="15.75" customHeight="1">
      <c r="B36" s="6" t="s">
        <v>9</v>
      </c>
      <c r="C36" s="7"/>
      <c r="D36" s="12"/>
      <c r="H36" s="64" t="s">
        <v>9</v>
      </c>
      <c r="I36" s="65"/>
      <c r="J36" s="69"/>
      <c r="K36" s="61"/>
      <c r="L36" s="61"/>
      <c r="M36" s="61"/>
    </row>
    <row r="37" spans="2:13" ht="15.75" customHeight="1">
      <c r="B37" s="6" t="s">
        <v>10</v>
      </c>
      <c r="C37" s="7"/>
      <c r="D37" s="12"/>
      <c r="H37" s="64" t="s">
        <v>10</v>
      </c>
      <c r="I37" s="65"/>
      <c r="J37" s="69"/>
      <c r="K37" s="61"/>
      <c r="L37" s="61"/>
      <c r="M37" s="61"/>
    </row>
    <row r="38" spans="2:13" ht="15.75" customHeight="1">
      <c r="B38" s="6" t="s">
        <v>11</v>
      </c>
      <c r="C38" s="7"/>
      <c r="D38" s="12"/>
      <c r="H38" s="64" t="s">
        <v>11</v>
      </c>
      <c r="I38" s="65"/>
      <c r="J38" s="69"/>
      <c r="K38" s="61"/>
      <c r="L38" s="61"/>
      <c r="M38" s="61"/>
    </row>
    <row r="39" spans="2:13" ht="15.75" customHeight="1">
      <c r="B39" s="57"/>
      <c r="C39" s="58"/>
      <c r="D39" s="59"/>
      <c r="H39" s="57"/>
      <c r="I39" s="60"/>
      <c r="J39" s="61"/>
      <c r="K39" s="61"/>
      <c r="L39" s="61"/>
      <c r="M39" s="61"/>
    </row>
    <row r="40" spans="2:13" ht="15.75" customHeight="1">
      <c r="B40" s="57"/>
      <c r="C40" s="58"/>
      <c r="D40" s="59"/>
    </row>
    <row r="41" spans="2:13" ht="15.75" customHeight="1"/>
    <row r="42" spans="2:13" ht="15.75" customHeight="1">
      <c r="B42" s="161" t="s">
        <v>14</v>
      </c>
      <c r="C42" s="162"/>
      <c r="D42" s="163"/>
    </row>
    <row r="43" spans="2:13" ht="15.75" customHeight="1">
      <c r="B43" s="4" t="s">
        <v>1</v>
      </c>
      <c r="C43" s="4" t="s">
        <v>2</v>
      </c>
      <c r="D43" s="4" t="s">
        <v>3</v>
      </c>
    </row>
    <row r="44" spans="2:13" ht="15.75" customHeight="1">
      <c r="B44" s="6" t="s">
        <v>34</v>
      </c>
      <c r="C44" s="102">
        <f>3600000+13000000</f>
        <v>16600000</v>
      </c>
      <c r="D44" s="8">
        <f>150000+500000</f>
        <v>650000</v>
      </c>
    </row>
    <row r="45" spans="2:13" ht="15.75" customHeight="1">
      <c r="B45" s="6" t="s">
        <v>35</v>
      </c>
      <c r="C45" s="7"/>
      <c r="D45" s="10"/>
    </row>
    <row r="46" spans="2:13" ht="15.75" customHeight="1">
      <c r="B46" s="6" t="s">
        <v>36</v>
      </c>
      <c r="C46" s="7"/>
      <c r="D46" s="10"/>
    </row>
    <row r="47" spans="2:13" ht="15.75" customHeight="1">
      <c r="B47" s="6" t="s">
        <v>37</v>
      </c>
      <c r="C47" s="7"/>
      <c r="D47" s="11"/>
    </row>
    <row r="48" spans="2:13" ht="15.75" customHeight="1">
      <c r="B48" s="6" t="s">
        <v>4</v>
      </c>
      <c r="C48" s="7"/>
      <c r="D48" s="11"/>
    </row>
    <row r="49" spans="2:4" ht="15.75" customHeight="1">
      <c r="B49" s="6" t="s">
        <v>5</v>
      </c>
      <c r="C49" s="7"/>
      <c r="D49" s="12"/>
    </row>
    <row r="50" spans="2:4" ht="15.75" customHeight="1">
      <c r="B50" s="6" t="s">
        <v>6</v>
      </c>
      <c r="C50" s="7"/>
      <c r="D50" s="12"/>
    </row>
    <row r="51" spans="2:4" ht="15.75" customHeight="1">
      <c r="B51" s="6" t="s">
        <v>7</v>
      </c>
      <c r="C51" s="7"/>
      <c r="D51" s="12"/>
    </row>
    <row r="52" spans="2:4" ht="15.75" customHeight="1">
      <c r="B52" s="6" t="s">
        <v>8</v>
      </c>
      <c r="C52" s="7"/>
      <c r="D52" s="12"/>
    </row>
    <row r="53" spans="2:4" ht="15.75" customHeight="1">
      <c r="B53" s="6" t="s">
        <v>9</v>
      </c>
      <c r="C53" s="7"/>
      <c r="D53" s="12"/>
    </row>
    <row r="54" spans="2:4" ht="15.75" customHeight="1">
      <c r="B54" s="6" t="s">
        <v>10</v>
      </c>
      <c r="C54" s="7"/>
      <c r="D54" s="12"/>
    </row>
    <row r="55" spans="2:4" ht="15.75" customHeight="1">
      <c r="B55" s="6" t="s">
        <v>11</v>
      </c>
      <c r="C55" s="7"/>
      <c r="D55" s="12"/>
    </row>
    <row r="56" spans="2:4" ht="15.75" customHeight="1">
      <c r="B56" s="57"/>
      <c r="C56" s="58"/>
      <c r="D56" s="59"/>
    </row>
    <row r="57" spans="2:4" ht="15.75" customHeight="1"/>
    <row r="58" spans="2:4" ht="15.75" customHeight="1"/>
    <row r="59" spans="2:4" ht="15.75" customHeight="1"/>
    <row r="60" spans="2:4" ht="15.75" customHeight="1"/>
    <row r="61" spans="2:4" ht="15.75" customHeight="1"/>
    <row r="62" spans="2:4" ht="15.75" customHeight="1"/>
    <row r="63" spans="2:4" ht="15.75" customHeight="1"/>
    <row r="64" spans="2: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6">
    <mergeCell ref="K25:L25"/>
    <mergeCell ref="H6:J6"/>
    <mergeCell ref="B42:D42"/>
    <mergeCell ref="B7:D7"/>
    <mergeCell ref="B25:D25"/>
    <mergeCell ref="H25:J25"/>
  </mergeCells>
  <phoneticPr fontId="18" type="noConversion"/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R770"/>
  <sheetViews>
    <sheetView topLeftCell="B84" workbookViewId="0">
      <selection activeCell="B108" sqref="B108"/>
    </sheetView>
  </sheetViews>
  <sheetFormatPr baseColWidth="10" defaultColWidth="14.44140625" defaultRowHeight="15" customHeight="1"/>
  <cols>
    <col min="1" max="2" width="3.109375" customWidth="1"/>
    <col min="3" max="3" width="31.88671875" customWidth="1"/>
    <col min="4" max="5" width="4.88671875" customWidth="1"/>
    <col min="6" max="6" width="23.88671875" customWidth="1"/>
    <col min="7" max="7" width="10.6640625" customWidth="1"/>
    <col min="8" max="8" width="93.6640625" bestFit="1" customWidth="1"/>
    <col min="9" max="9" width="15.44140625" customWidth="1"/>
    <col min="10" max="10" width="17.88671875" customWidth="1"/>
    <col min="11" max="11" width="20" customWidth="1"/>
    <col min="12" max="12" width="13.88671875" customWidth="1"/>
    <col min="13" max="13" width="18" customWidth="1"/>
    <col min="14" max="14" width="89.33203125" bestFit="1" customWidth="1"/>
    <col min="15" max="15" width="10.6640625" customWidth="1"/>
    <col min="16" max="16" width="11.88671875" bestFit="1" customWidth="1"/>
    <col min="17" max="17" width="22.44140625" customWidth="1"/>
    <col min="18" max="18" width="17.88671875" customWidth="1"/>
    <col min="19" max="26" width="10.6640625" customWidth="1"/>
  </cols>
  <sheetData>
    <row r="1" spans="3:18" ht="14.4">
      <c r="C1" s="13"/>
      <c r="G1" s="1"/>
      <c r="K1" s="2"/>
      <c r="L1" s="2"/>
    </row>
    <row r="2" spans="3:18" ht="14.4">
      <c r="C2" s="13"/>
      <c r="F2" s="167"/>
      <c r="G2" s="168"/>
      <c r="K2" s="2"/>
      <c r="L2" s="2"/>
    </row>
    <row r="3" spans="3:18" ht="14.4">
      <c r="C3" s="13"/>
      <c r="F3" s="169"/>
      <c r="G3" s="170"/>
      <c r="K3" s="2"/>
      <c r="L3" s="2"/>
    </row>
    <row r="4" spans="3:18" ht="14.4">
      <c r="C4" s="13"/>
      <c r="F4" s="169"/>
      <c r="G4" s="170"/>
      <c r="K4" s="2"/>
      <c r="L4" s="2"/>
      <c r="P4" s="173" t="s">
        <v>15</v>
      </c>
      <c r="Q4" s="165"/>
      <c r="R4" s="166"/>
    </row>
    <row r="5" spans="3:18" ht="14.4">
      <c r="C5" s="13"/>
      <c r="F5" s="171"/>
      <c r="G5" s="172"/>
      <c r="K5" s="2"/>
      <c r="L5" s="2"/>
    </row>
    <row r="6" spans="3:18" ht="15.6">
      <c r="C6" s="13"/>
      <c r="G6" s="1"/>
      <c r="K6" s="2"/>
      <c r="L6" s="2"/>
      <c r="P6" s="161" t="s">
        <v>0</v>
      </c>
      <c r="Q6" s="162"/>
      <c r="R6" s="163"/>
    </row>
    <row r="7" spans="3:18" ht="21">
      <c r="C7" s="164" t="s">
        <v>38</v>
      </c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6"/>
      <c r="P7" s="4" t="s">
        <v>1</v>
      </c>
      <c r="Q7" s="4" t="s">
        <v>2</v>
      </c>
      <c r="R7" s="4" t="s">
        <v>3</v>
      </c>
    </row>
    <row r="8" spans="3:18" ht="15.6">
      <c r="C8" s="14" t="s">
        <v>16</v>
      </c>
      <c r="D8" s="15" t="s">
        <v>17</v>
      </c>
      <c r="E8" s="16" t="s">
        <v>18</v>
      </c>
      <c r="F8" s="17" t="s">
        <v>19</v>
      </c>
      <c r="G8" s="17" t="s">
        <v>20</v>
      </c>
      <c r="H8" s="17" t="s">
        <v>21</v>
      </c>
      <c r="I8" s="17" t="s">
        <v>22</v>
      </c>
      <c r="J8" s="17" t="s">
        <v>2</v>
      </c>
      <c r="K8" s="18" t="s">
        <v>23</v>
      </c>
      <c r="L8" s="18" t="s">
        <v>24</v>
      </c>
      <c r="M8" s="17" t="s">
        <v>25</v>
      </c>
      <c r="N8" s="81" t="s">
        <v>26</v>
      </c>
      <c r="P8" s="6" t="s">
        <v>113</v>
      </c>
      <c r="Q8" s="7">
        <f>+TOTALIZADO!C9</f>
        <v>10029000</v>
      </c>
      <c r="R8" s="8"/>
    </row>
    <row r="9" spans="3:18" ht="14.4">
      <c r="C9" s="19">
        <v>46023</v>
      </c>
      <c r="D9" s="20"/>
      <c r="E9" s="16" t="s">
        <v>18</v>
      </c>
      <c r="F9" s="21"/>
      <c r="G9" s="21"/>
      <c r="H9" s="22" t="s">
        <v>41</v>
      </c>
      <c r="I9" s="23">
        <v>0</v>
      </c>
      <c r="J9" s="23"/>
      <c r="K9" s="23">
        <v>0</v>
      </c>
      <c r="L9" s="8"/>
      <c r="M9" s="78"/>
      <c r="N9" s="82" t="s">
        <v>109</v>
      </c>
      <c r="P9" s="6" t="s">
        <v>114</v>
      </c>
      <c r="Q9" s="7"/>
      <c r="R9" s="10"/>
    </row>
    <row r="10" spans="3:18" ht="14.4">
      <c r="C10" s="24">
        <v>46024</v>
      </c>
      <c r="D10" s="25"/>
      <c r="E10" s="16" t="s">
        <v>18</v>
      </c>
      <c r="F10" s="21"/>
      <c r="G10" s="26"/>
      <c r="H10" s="22" t="s">
        <v>44</v>
      </c>
      <c r="I10" s="21"/>
      <c r="J10" s="27"/>
      <c r="K10" s="7"/>
      <c r="L10" s="8"/>
      <c r="M10" s="78"/>
      <c r="N10" s="82" t="s">
        <v>109</v>
      </c>
      <c r="P10" s="6" t="s">
        <v>36</v>
      </c>
      <c r="Q10" s="7"/>
      <c r="R10" s="10"/>
    </row>
    <row r="11" spans="3:18" ht="14.4">
      <c r="C11" s="19">
        <v>46025</v>
      </c>
      <c r="D11" s="20"/>
      <c r="E11" s="16" t="s">
        <v>18</v>
      </c>
      <c r="F11" s="21"/>
      <c r="G11" s="21"/>
      <c r="H11" s="22" t="s">
        <v>41</v>
      </c>
      <c r="I11" s="21"/>
      <c r="J11" s="5"/>
      <c r="K11" s="7"/>
      <c r="L11" s="8"/>
      <c r="M11" s="78"/>
      <c r="N11" s="82" t="s">
        <v>109</v>
      </c>
      <c r="P11" s="6" t="s">
        <v>37</v>
      </c>
      <c r="Q11" s="7"/>
      <c r="R11" s="11"/>
    </row>
    <row r="12" spans="3:18" ht="14.4">
      <c r="C12" s="24">
        <v>46026</v>
      </c>
      <c r="D12" s="25"/>
      <c r="E12" s="100" t="s">
        <v>256</v>
      </c>
      <c r="F12" s="21"/>
      <c r="G12" s="21"/>
      <c r="H12" s="22" t="s">
        <v>41</v>
      </c>
      <c r="I12" s="21"/>
      <c r="J12" s="5"/>
      <c r="K12" s="7"/>
      <c r="L12" s="8"/>
      <c r="M12" s="78"/>
      <c r="N12" s="82" t="s">
        <v>109</v>
      </c>
      <c r="P12" s="6" t="s">
        <v>4</v>
      </c>
      <c r="Q12" s="7"/>
      <c r="R12" s="11"/>
    </row>
    <row r="13" spans="3:18" ht="14.4">
      <c r="C13" s="19">
        <v>46027</v>
      </c>
      <c r="D13" s="20"/>
      <c r="E13" s="16" t="s">
        <v>18</v>
      </c>
      <c r="F13" s="21"/>
      <c r="G13" s="21"/>
      <c r="H13" s="22" t="s">
        <v>41</v>
      </c>
      <c r="I13" s="21"/>
      <c r="J13" s="5"/>
      <c r="K13" s="7"/>
      <c r="L13" s="8"/>
      <c r="M13" s="78"/>
      <c r="N13" s="82" t="s">
        <v>109</v>
      </c>
      <c r="P13" s="6" t="s">
        <v>5</v>
      </c>
      <c r="Q13" s="7"/>
      <c r="R13" s="12"/>
    </row>
    <row r="14" spans="3:18" ht="14.4">
      <c r="C14" s="24">
        <v>46028</v>
      </c>
      <c r="D14" s="25"/>
      <c r="E14" s="16" t="s">
        <v>18</v>
      </c>
      <c r="F14" s="21"/>
      <c r="G14" s="21"/>
      <c r="H14" s="72" t="s">
        <v>57</v>
      </c>
      <c r="I14" s="21"/>
      <c r="J14" s="28"/>
      <c r="K14" s="7"/>
      <c r="L14" s="8"/>
      <c r="M14" s="78"/>
      <c r="N14" s="82" t="s">
        <v>109</v>
      </c>
      <c r="P14" s="6" t="s">
        <v>6</v>
      </c>
      <c r="Q14" s="7"/>
      <c r="R14" s="12"/>
    </row>
    <row r="15" spans="3:18" ht="14.4">
      <c r="C15" s="19">
        <v>46029</v>
      </c>
      <c r="D15" s="20"/>
      <c r="E15" s="16" t="s">
        <v>18</v>
      </c>
      <c r="F15" s="21"/>
      <c r="G15" s="21"/>
      <c r="H15" s="22" t="s">
        <v>41</v>
      </c>
      <c r="I15" s="21"/>
      <c r="J15" s="28"/>
      <c r="K15" s="7"/>
      <c r="L15" s="8"/>
      <c r="M15" s="78"/>
      <c r="N15" s="82" t="s">
        <v>109</v>
      </c>
      <c r="P15" s="6" t="s">
        <v>7</v>
      </c>
      <c r="Q15" s="7"/>
      <c r="R15" s="12"/>
    </row>
    <row r="16" spans="3:18" ht="14.4">
      <c r="C16" s="24">
        <v>46030</v>
      </c>
      <c r="D16" s="25"/>
      <c r="E16" s="16" t="s">
        <v>18</v>
      </c>
      <c r="F16" s="21"/>
      <c r="G16" s="21"/>
      <c r="H16" s="22" t="s">
        <v>41</v>
      </c>
      <c r="I16" s="21"/>
      <c r="J16" s="27"/>
      <c r="K16" s="7"/>
      <c r="L16" s="8"/>
      <c r="M16" s="79"/>
      <c r="N16" s="82" t="s">
        <v>109</v>
      </c>
      <c r="P16" s="6" t="s">
        <v>8</v>
      </c>
      <c r="Q16" s="7"/>
      <c r="R16" s="12"/>
    </row>
    <row r="17" spans="3:18" ht="14.4">
      <c r="C17" s="19">
        <v>46031</v>
      </c>
      <c r="D17" s="20"/>
      <c r="E17" s="16" t="s">
        <v>18</v>
      </c>
      <c r="F17" s="21"/>
      <c r="G17" s="21"/>
      <c r="H17" s="72" t="s">
        <v>66</v>
      </c>
      <c r="I17" s="21"/>
      <c r="J17" s="28"/>
      <c r="K17" s="7"/>
      <c r="L17" s="8"/>
      <c r="M17" s="78"/>
      <c r="N17" s="82" t="s">
        <v>109</v>
      </c>
      <c r="P17" s="6" t="s">
        <v>9</v>
      </c>
      <c r="Q17" s="7"/>
      <c r="R17" s="12"/>
    </row>
    <row r="18" spans="3:18" ht="14.4">
      <c r="C18" s="24">
        <v>46032</v>
      </c>
      <c r="D18" s="25"/>
      <c r="E18" s="16" t="s">
        <v>18</v>
      </c>
      <c r="F18" s="21"/>
      <c r="G18" s="21"/>
      <c r="H18" s="72" t="s">
        <v>70</v>
      </c>
      <c r="I18" s="21"/>
      <c r="J18" s="27"/>
      <c r="K18" s="7"/>
      <c r="L18" s="8"/>
      <c r="M18" s="78"/>
      <c r="N18" s="82" t="s">
        <v>109</v>
      </c>
      <c r="P18" s="6" t="s">
        <v>10</v>
      </c>
      <c r="Q18" s="7"/>
      <c r="R18" s="12"/>
    </row>
    <row r="19" spans="3:18" ht="14.4">
      <c r="C19" s="19">
        <v>46033</v>
      </c>
      <c r="D19" s="15" t="s">
        <v>17</v>
      </c>
      <c r="E19" s="20"/>
      <c r="F19" s="21"/>
      <c r="G19" s="21"/>
      <c r="H19" s="72" t="s">
        <v>72</v>
      </c>
      <c r="I19" s="21"/>
      <c r="J19" s="28"/>
      <c r="K19" s="7"/>
      <c r="L19" s="8"/>
      <c r="M19" s="78"/>
      <c r="N19" s="82" t="s">
        <v>109</v>
      </c>
      <c r="P19" s="6" t="s">
        <v>11</v>
      </c>
      <c r="Q19" s="7"/>
      <c r="R19" s="12"/>
    </row>
    <row r="20" spans="3:18" ht="14.4">
      <c r="C20" s="24">
        <v>46034</v>
      </c>
      <c r="D20" s="25"/>
      <c r="E20" s="16" t="s">
        <v>18</v>
      </c>
      <c r="F20" s="21"/>
      <c r="G20" s="21"/>
      <c r="H20" s="72" t="s">
        <v>76</v>
      </c>
      <c r="I20" s="21"/>
      <c r="J20" s="28"/>
      <c r="K20" s="7"/>
      <c r="L20" s="8"/>
      <c r="M20" s="78"/>
      <c r="N20" s="82" t="s">
        <v>109</v>
      </c>
    </row>
    <row r="21" spans="3:18" ht="15.75" customHeight="1">
      <c r="C21" s="19">
        <v>46035</v>
      </c>
      <c r="D21" s="20"/>
      <c r="E21" s="16" t="s">
        <v>18</v>
      </c>
      <c r="F21" s="21"/>
      <c r="G21" s="21"/>
      <c r="H21" s="72" t="s">
        <v>79</v>
      </c>
      <c r="I21" s="21"/>
      <c r="J21" s="28"/>
      <c r="K21" s="7"/>
      <c r="L21" s="8"/>
      <c r="M21" s="78"/>
      <c r="N21" s="82" t="s">
        <v>109</v>
      </c>
    </row>
    <row r="22" spans="3:18" ht="15.75" customHeight="1">
      <c r="C22" s="24">
        <v>46036</v>
      </c>
      <c r="D22" s="25"/>
      <c r="E22" s="16" t="s">
        <v>18</v>
      </c>
      <c r="F22" s="21"/>
      <c r="G22" s="21"/>
      <c r="H22" s="72" t="s">
        <v>83</v>
      </c>
      <c r="I22" s="21"/>
      <c r="J22" s="28"/>
      <c r="K22" s="7"/>
      <c r="L22" s="8"/>
      <c r="M22" s="78"/>
      <c r="N22" s="82" t="s">
        <v>109</v>
      </c>
    </row>
    <row r="23" spans="3:18" ht="15.75" customHeight="1">
      <c r="C23" s="19">
        <v>46037</v>
      </c>
      <c r="D23" s="20"/>
      <c r="F23" s="21"/>
      <c r="G23" s="21"/>
      <c r="H23" s="72" t="s">
        <v>86</v>
      </c>
      <c r="I23" s="21"/>
      <c r="J23" s="28"/>
      <c r="K23" s="7"/>
      <c r="L23" s="8"/>
      <c r="M23" s="78"/>
      <c r="N23" s="82" t="s">
        <v>110</v>
      </c>
    </row>
    <row r="24" spans="3:18" ht="15.75" customHeight="1">
      <c r="C24" s="24">
        <v>46038</v>
      </c>
      <c r="D24" s="62"/>
      <c r="E24" s="49" t="s">
        <v>17</v>
      </c>
      <c r="F24" s="55"/>
      <c r="G24" s="21"/>
      <c r="H24" s="72" t="s">
        <v>259</v>
      </c>
      <c r="I24" s="21"/>
      <c r="J24" s="28"/>
      <c r="K24" s="7"/>
      <c r="L24" s="8"/>
      <c r="M24" s="78"/>
      <c r="N24" s="82" t="s">
        <v>110</v>
      </c>
    </row>
    <row r="25" spans="3:18" ht="15.75" customHeight="1">
      <c r="C25" s="19">
        <v>46039</v>
      </c>
      <c r="D25" s="75"/>
      <c r="E25" s="49" t="s">
        <v>17</v>
      </c>
      <c r="F25" s="55"/>
      <c r="G25" s="21"/>
      <c r="H25" s="72" t="s">
        <v>260</v>
      </c>
      <c r="I25" s="21"/>
      <c r="J25" s="28"/>
      <c r="K25" s="7"/>
      <c r="L25" s="8"/>
      <c r="M25" s="78"/>
      <c r="N25" s="82" t="s">
        <v>111</v>
      </c>
    </row>
    <row r="26" spans="3:18" ht="15.75" customHeight="1">
      <c r="C26" s="24">
        <v>46040</v>
      </c>
      <c r="D26" s="25"/>
      <c r="E26" s="49" t="s">
        <v>17</v>
      </c>
      <c r="F26" s="21"/>
      <c r="G26" s="21"/>
      <c r="H26" s="72" t="s">
        <v>257</v>
      </c>
      <c r="I26" s="21"/>
      <c r="J26" s="27"/>
      <c r="K26" s="7"/>
      <c r="L26" s="8"/>
      <c r="M26" s="78"/>
      <c r="N26" s="82" t="s">
        <v>112</v>
      </c>
    </row>
    <row r="27" spans="3:18" ht="15.75" customHeight="1">
      <c r="C27" s="19">
        <v>46041</v>
      </c>
      <c r="D27" s="20"/>
      <c r="E27" s="49" t="s">
        <v>17</v>
      </c>
      <c r="F27" s="21"/>
      <c r="G27" s="21"/>
      <c r="H27" s="72" t="s">
        <v>258</v>
      </c>
      <c r="I27" s="21"/>
      <c r="J27" s="28"/>
      <c r="K27" s="7"/>
      <c r="L27" s="8"/>
      <c r="M27" s="78"/>
      <c r="N27" s="82" t="s">
        <v>112</v>
      </c>
    </row>
    <row r="28" spans="3:18" ht="15.75" customHeight="1">
      <c r="C28" s="24">
        <v>46042</v>
      </c>
      <c r="D28" s="49" t="s">
        <v>17</v>
      </c>
      <c r="E28" s="20"/>
      <c r="F28" s="21"/>
      <c r="G28" s="21"/>
      <c r="H28" s="72" t="s">
        <v>102</v>
      </c>
      <c r="I28" s="21"/>
      <c r="J28" s="28"/>
      <c r="K28" s="7"/>
      <c r="L28" s="8"/>
      <c r="M28" s="78"/>
      <c r="N28" s="82" t="s">
        <v>112</v>
      </c>
    </row>
    <row r="29" spans="3:18" ht="15.75" customHeight="1">
      <c r="C29" s="19">
        <v>46043</v>
      </c>
      <c r="D29" s="49" t="s">
        <v>17</v>
      </c>
      <c r="E29" s="20"/>
      <c r="F29" s="21"/>
      <c r="G29" s="21"/>
      <c r="H29" s="72" t="s">
        <v>106</v>
      </c>
      <c r="I29" s="21"/>
      <c r="J29" s="28"/>
      <c r="K29" s="7"/>
      <c r="L29" s="8"/>
      <c r="M29" s="78"/>
      <c r="N29" s="82" t="s">
        <v>112</v>
      </c>
    </row>
    <row r="30" spans="3:18" ht="15.75" customHeight="1">
      <c r="C30" s="24">
        <v>46044</v>
      </c>
      <c r="D30" s="25"/>
      <c r="E30" s="76" t="s">
        <v>18</v>
      </c>
      <c r="F30" s="21"/>
      <c r="G30" s="21"/>
      <c r="H30" s="72" t="s">
        <v>130</v>
      </c>
      <c r="I30" s="21"/>
      <c r="J30" s="28"/>
      <c r="K30" s="7"/>
      <c r="L30" s="8"/>
      <c r="M30" s="78"/>
      <c r="N30" s="74"/>
    </row>
    <row r="31" spans="3:18" ht="15.75" customHeight="1">
      <c r="C31" s="19">
        <v>46045</v>
      </c>
      <c r="D31" s="20"/>
      <c r="E31" s="76" t="s">
        <v>18</v>
      </c>
      <c r="F31" s="21"/>
      <c r="G31" s="21"/>
      <c r="H31" s="72" t="s">
        <v>131</v>
      </c>
      <c r="I31" s="21"/>
      <c r="J31" s="27"/>
      <c r="K31" s="7"/>
      <c r="L31" s="8"/>
      <c r="M31" s="78"/>
      <c r="N31" s="82"/>
    </row>
    <row r="32" spans="3:18" ht="15.75" customHeight="1">
      <c r="C32" s="24">
        <v>46046</v>
      </c>
      <c r="D32" s="25"/>
      <c r="E32" s="76" t="s">
        <v>18</v>
      </c>
      <c r="F32" s="21"/>
      <c r="G32" s="21"/>
      <c r="H32" s="83" t="s">
        <v>132</v>
      </c>
      <c r="I32" s="21"/>
      <c r="J32" s="28"/>
      <c r="K32" s="7"/>
      <c r="L32" s="8"/>
      <c r="M32" s="78"/>
      <c r="N32" s="74"/>
    </row>
    <row r="33" spans="3:18" ht="15.75" customHeight="1">
      <c r="C33" s="19">
        <v>46047</v>
      </c>
      <c r="D33" s="20"/>
      <c r="E33" s="76" t="s">
        <v>18</v>
      </c>
      <c r="F33" s="21"/>
      <c r="G33" s="21"/>
      <c r="H33" s="83" t="s">
        <v>133</v>
      </c>
      <c r="I33" s="21"/>
      <c r="J33" s="28"/>
      <c r="K33" s="7"/>
      <c r="L33" s="8"/>
      <c r="M33" s="78"/>
      <c r="N33" s="82"/>
    </row>
    <row r="34" spans="3:18" ht="15.75" customHeight="1">
      <c r="C34" s="24">
        <v>46048</v>
      </c>
      <c r="D34" s="25"/>
      <c r="E34" s="76" t="s">
        <v>18</v>
      </c>
      <c r="F34" s="21"/>
      <c r="G34" s="21"/>
      <c r="H34" s="21" t="s">
        <v>41</v>
      </c>
      <c r="I34" s="21"/>
      <c r="J34" s="28"/>
      <c r="K34" s="7"/>
      <c r="L34" s="8"/>
      <c r="M34" s="78"/>
      <c r="N34" s="74"/>
    </row>
    <row r="35" spans="3:18" ht="15.75" customHeight="1">
      <c r="C35" s="19">
        <v>46049</v>
      </c>
      <c r="D35" s="20"/>
      <c r="E35" s="76" t="s">
        <v>18</v>
      </c>
      <c r="F35" s="21"/>
      <c r="G35" s="21"/>
      <c r="H35" s="83" t="s">
        <v>144</v>
      </c>
      <c r="I35" s="21"/>
      <c r="J35" s="28"/>
      <c r="K35" s="7"/>
      <c r="L35" s="8"/>
      <c r="M35" s="78"/>
      <c r="N35" s="82"/>
    </row>
    <row r="36" spans="3:18" ht="15.75" customHeight="1">
      <c r="C36" s="24">
        <v>46050</v>
      </c>
      <c r="D36" s="25"/>
      <c r="E36" s="76" t="s">
        <v>18</v>
      </c>
      <c r="F36" s="21"/>
      <c r="G36" s="21"/>
      <c r="H36" s="83" t="s">
        <v>150</v>
      </c>
      <c r="I36" s="21"/>
      <c r="J36" s="28"/>
      <c r="K36" s="7"/>
      <c r="L36" s="8"/>
      <c r="M36" s="78"/>
      <c r="N36" s="74"/>
    </row>
    <row r="37" spans="3:18" ht="15.75" customHeight="1">
      <c r="C37" s="19">
        <v>46051</v>
      </c>
      <c r="D37" s="20"/>
      <c r="E37" s="76" t="s">
        <v>18</v>
      </c>
      <c r="F37" s="21"/>
      <c r="G37" s="21"/>
      <c r="H37" s="83" t="s">
        <v>146</v>
      </c>
      <c r="I37" s="21"/>
      <c r="J37" s="28"/>
      <c r="K37" s="7"/>
      <c r="L37" s="8"/>
      <c r="M37" s="78"/>
      <c r="N37" s="82"/>
    </row>
    <row r="38" spans="3:18" ht="15.75" customHeight="1">
      <c r="C38" s="24">
        <v>46052</v>
      </c>
      <c r="D38" s="25"/>
      <c r="E38" s="76" t="s">
        <v>18</v>
      </c>
      <c r="F38" s="21"/>
      <c r="G38" s="21"/>
      <c r="H38" s="83" t="s">
        <v>261</v>
      </c>
      <c r="I38" s="21"/>
      <c r="J38" s="28"/>
      <c r="K38" s="7"/>
      <c r="L38" s="8"/>
      <c r="M38" s="78"/>
      <c r="N38" s="74"/>
    </row>
    <row r="39" spans="3:18" ht="15.75" customHeight="1">
      <c r="C39" s="19">
        <v>46053</v>
      </c>
      <c r="D39" s="20"/>
      <c r="E39" s="76" t="s">
        <v>18</v>
      </c>
      <c r="F39" s="21"/>
      <c r="G39" s="30"/>
      <c r="H39" s="83" t="s">
        <v>265</v>
      </c>
      <c r="I39" s="30"/>
      <c r="J39" s="31"/>
      <c r="K39" s="32"/>
      <c r="L39" s="33"/>
      <c r="M39" s="80"/>
      <c r="N39" s="82"/>
    </row>
    <row r="40" spans="3:18" ht="15.75" customHeight="1">
      <c r="C40" s="13"/>
      <c r="K40" s="2"/>
      <c r="L40" s="2"/>
    </row>
    <row r="41" spans="3:18" ht="15.75" customHeight="1">
      <c r="C41" s="13"/>
      <c r="K41" s="2"/>
      <c r="L41" s="2"/>
      <c r="N41" s="77"/>
    </row>
    <row r="42" spans="3:18" ht="21">
      <c r="C42" s="164" t="s">
        <v>269</v>
      </c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6"/>
      <c r="P42" s="4" t="s">
        <v>1</v>
      </c>
      <c r="Q42" s="4" t="s">
        <v>2</v>
      </c>
      <c r="R42" s="4" t="s">
        <v>3</v>
      </c>
    </row>
    <row r="43" spans="3:18" ht="15.6">
      <c r="C43" s="14" t="s">
        <v>16</v>
      </c>
      <c r="D43" s="15" t="s">
        <v>17</v>
      </c>
      <c r="E43" s="16" t="s">
        <v>18</v>
      </c>
      <c r="F43" s="17" t="s">
        <v>19</v>
      </c>
      <c r="G43" s="17" t="s">
        <v>20</v>
      </c>
      <c r="H43" s="17" t="s">
        <v>21</v>
      </c>
      <c r="I43" s="17" t="s">
        <v>22</v>
      </c>
      <c r="J43" s="17" t="s">
        <v>2</v>
      </c>
      <c r="K43" s="18" t="s">
        <v>23</v>
      </c>
      <c r="L43" s="18" t="s">
        <v>24</v>
      </c>
      <c r="M43" s="17" t="s">
        <v>25</v>
      </c>
      <c r="N43" s="81" t="s">
        <v>26</v>
      </c>
      <c r="P43" s="6" t="s">
        <v>113</v>
      </c>
      <c r="Q43" s="7"/>
      <c r="R43" s="8"/>
    </row>
    <row r="44" spans="3:18" ht="14.4">
      <c r="C44" s="19">
        <v>46054</v>
      </c>
      <c r="D44" s="15" t="s">
        <v>17</v>
      </c>
      <c r="E44" s="16"/>
      <c r="F44" s="21"/>
      <c r="G44" s="21"/>
      <c r="H44" s="22" t="s">
        <v>278</v>
      </c>
      <c r="I44" s="23"/>
      <c r="J44" s="23"/>
      <c r="K44" s="23"/>
      <c r="L44" s="8"/>
      <c r="M44" s="78"/>
      <c r="N44" s="82"/>
      <c r="P44" s="6" t="s">
        <v>114</v>
      </c>
      <c r="Q44" s="7"/>
      <c r="R44" s="10"/>
    </row>
    <row r="45" spans="3:18" ht="14.4">
      <c r="C45" s="24">
        <v>46055</v>
      </c>
      <c r="D45" s="15" t="s">
        <v>17</v>
      </c>
      <c r="E45" s="16"/>
      <c r="F45" s="21"/>
      <c r="G45" s="26"/>
      <c r="H45" s="22" t="s">
        <v>277</v>
      </c>
      <c r="I45" s="21"/>
      <c r="J45" s="27"/>
      <c r="K45" s="7"/>
      <c r="L45" s="8"/>
      <c r="M45" s="78"/>
      <c r="N45" s="82"/>
      <c r="P45" s="6" t="s">
        <v>36</v>
      </c>
      <c r="Q45" s="7"/>
      <c r="R45" s="10"/>
    </row>
    <row r="46" spans="3:18" ht="14.4">
      <c r="C46" s="19">
        <v>46056</v>
      </c>
      <c r="D46" s="15" t="s">
        <v>17</v>
      </c>
      <c r="E46" s="16"/>
      <c r="F46" s="21"/>
      <c r="G46" s="21"/>
      <c r="H46" s="22" t="s">
        <v>276</v>
      </c>
      <c r="I46" s="21"/>
      <c r="J46" s="5"/>
      <c r="K46" s="7"/>
      <c r="L46" s="8"/>
      <c r="M46" s="78"/>
      <c r="N46" s="82"/>
      <c r="P46" s="6" t="s">
        <v>37</v>
      </c>
      <c r="Q46" s="7"/>
      <c r="R46" s="11"/>
    </row>
    <row r="47" spans="3:18" ht="14.4">
      <c r="C47" s="24">
        <v>46057</v>
      </c>
      <c r="D47" s="15" t="s">
        <v>17</v>
      </c>
      <c r="E47" s="100"/>
      <c r="F47" s="21"/>
      <c r="G47" s="21"/>
      <c r="H47" s="22" t="s">
        <v>275</v>
      </c>
      <c r="I47" s="21"/>
      <c r="J47" s="5"/>
      <c r="K47" s="7"/>
      <c r="L47" s="8"/>
      <c r="M47" s="78"/>
      <c r="N47" s="82"/>
      <c r="P47" s="6" t="s">
        <v>4</v>
      </c>
      <c r="Q47" s="7"/>
      <c r="R47" s="11"/>
    </row>
    <row r="48" spans="3:18" ht="14.4">
      <c r="C48" s="19">
        <v>46058</v>
      </c>
      <c r="D48" s="15"/>
      <c r="E48" s="16" t="s">
        <v>18</v>
      </c>
      <c r="F48" s="21"/>
      <c r="G48" s="21"/>
      <c r="H48" s="22" t="s">
        <v>271</v>
      </c>
      <c r="I48" s="21"/>
      <c r="J48" s="5"/>
      <c r="K48" s="7"/>
      <c r="L48" s="8"/>
      <c r="M48" s="78"/>
      <c r="N48" s="82"/>
      <c r="P48" s="6" t="s">
        <v>5</v>
      </c>
      <c r="Q48" s="7"/>
      <c r="R48" s="12"/>
    </row>
    <row r="49" spans="3:18" ht="14.4">
      <c r="C49" s="24">
        <v>46059</v>
      </c>
      <c r="D49" s="15"/>
      <c r="E49" s="16" t="s">
        <v>18</v>
      </c>
      <c r="F49" s="21"/>
      <c r="G49" s="21"/>
      <c r="H49" s="72" t="s">
        <v>270</v>
      </c>
      <c r="I49" s="21"/>
      <c r="J49" s="28"/>
      <c r="K49" s="7"/>
      <c r="L49" s="8"/>
      <c r="M49" s="78"/>
      <c r="N49" s="82"/>
      <c r="P49" s="6" t="s">
        <v>6</v>
      </c>
      <c r="Q49" s="7"/>
      <c r="R49" s="12"/>
    </row>
    <row r="50" spans="3:18" ht="14.4">
      <c r="C50" s="19">
        <v>46060</v>
      </c>
      <c r="D50" s="20"/>
      <c r="E50" s="16" t="s">
        <v>18</v>
      </c>
      <c r="F50" s="21"/>
      <c r="G50" s="21"/>
      <c r="H50" s="72" t="s">
        <v>272</v>
      </c>
      <c r="I50" s="21"/>
      <c r="J50" s="28"/>
      <c r="K50" s="7"/>
      <c r="L50" s="8"/>
      <c r="M50" s="78"/>
      <c r="N50" s="82"/>
      <c r="P50" s="6" t="s">
        <v>7</v>
      </c>
      <c r="Q50" s="7"/>
      <c r="R50" s="12"/>
    </row>
    <row r="51" spans="3:18" ht="14.4">
      <c r="C51" s="24">
        <v>46061</v>
      </c>
      <c r="D51" s="25"/>
      <c r="E51" s="16" t="s">
        <v>18</v>
      </c>
      <c r="F51" s="21"/>
      <c r="G51" s="21"/>
      <c r="H51" s="72" t="s">
        <v>272</v>
      </c>
      <c r="I51" s="21"/>
      <c r="J51" s="27"/>
      <c r="K51" s="7"/>
      <c r="L51" s="8"/>
      <c r="M51" s="79"/>
      <c r="N51" s="82"/>
      <c r="P51" s="6" t="s">
        <v>8</v>
      </c>
      <c r="Q51" s="7"/>
      <c r="R51" s="12"/>
    </row>
    <row r="52" spans="3:18" ht="14.4">
      <c r="C52" s="19">
        <v>46062</v>
      </c>
      <c r="D52" s="20"/>
      <c r="E52" s="16" t="s">
        <v>18</v>
      </c>
      <c r="F52" s="21"/>
      <c r="G52" s="21"/>
      <c r="H52" s="72" t="s">
        <v>273</v>
      </c>
      <c r="I52" s="21"/>
      <c r="J52" s="28"/>
      <c r="K52" s="7"/>
      <c r="L52" s="8"/>
      <c r="M52" s="78"/>
      <c r="N52" s="82"/>
      <c r="P52" s="6" t="s">
        <v>9</v>
      </c>
      <c r="Q52" s="7"/>
      <c r="R52" s="12"/>
    </row>
    <row r="53" spans="3:18" ht="14.4">
      <c r="C53" s="24">
        <v>46063</v>
      </c>
      <c r="D53" s="25"/>
      <c r="E53" s="16" t="s">
        <v>18</v>
      </c>
      <c r="F53" s="21"/>
      <c r="G53" s="21"/>
      <c r="H53" s="72" t="s">
        <v>274</v>
      </c>
      <c r="I53" s="21"/>
      <c r="J53" s="27"/>
      <c r="K53" s="7"/>
      <c r="L53" s="8"/>
      <c r="M53" s="78"/>
      <c r="N53" s="82"/>
      <c r="P53" s="6" t="s">
        <v>10</v>
      </c>
      <c r="Q53" s="7"/>
      <c r="R53" s="12"/>
    </row>
    <row r="54" spans="3:18" ht="14.4">
      <c r="C54" s="19">
        <v>46064</v>
      </c>
      <c r="D54" s="15"/>
      <c r="E54" s="16" t="s">
        <v>18</v>
      </c>
      <c r="F54" s="21"/>
      <c r="G54" s="21"/>
      <c r="H54" s="72" t="s">
        <v>329</v>
      </c>
      <c r="I54" s="21"/>
      <c r="J54" s="28"/>
      <c r="K54" s="7"/>
      <c r="L54" s="8"/>
      <c r="M54" s="78"/>
      <c r="N54" s="82"/>
      <c r="P54" s="6" t="s">
        <v>11</v>
      </c>
      <c r="Q54" s="7"/>
      <c r="R54" s="12"/>
    </row>
    <row r="55" spans="3:18" ht="14.4">
      <c r="C55" s="24">
        <v>46065</v>
      </c>
      <c r="D55" s="25"/>
      <c r="E55" s="16" t="s">
        <v>18</v>
      </c>
      <c r="F55" s="21"/>
      <c r="G55" s="21"/>
      <c r="H55" s="72" t="s">
        <v>330</v>
      </c>
      <c r="I55" s="21"/>
      <c r="J55" s="28"/>
      <c r="K55" s="7"/>
      <c r="L55" s="8"/>
      <c r="M55" s="78"/>
      <c r="N55" s="82"/>
    </row>
    <row r="56" spans="3:18" ht="15.75" customHeight="1">
      <c r="C56" s="19">
        <v>46066</v>
      </c>
      <c r="D56" s="20"/>
      <c r="E56" s="16" t="s">
        <v>18</v>
      </c>
      <c r="F56" s="21"/>
      <c r="G56" s="21"/>
      <c r="H56" s="72" t="s">
        <v>344</v>
      </c>
      <c r="I56" s="21"/>
      <c r="J56" s="28"/>
      <c r="K56" s="7"/>
      <c r="L56" s="8"/>
      <c r="M56" s="78"/>
      <c r="N56" s="82"/>
    </row>
    <row r="57" spans="3:18" ht="15.75" customHeight="1">
      <c r="C57" s="24">
        <v>46067</v>
      </c>
      <c r="D57" s="25"/>
      <c r="E57" s="15" t="s">
        <v>17</v>
      </c>
      <c r="F57" s="21"/>
      <c r="G57" s="21"/>
      <c r="H57" s="72" t="s">
        <v>345</v>
      </c>
      <c r="I57" s="21"/>
      <c r="J57" s="28"/>
      <c r="K57" s="7"/>
      <c r="L57" s="8"/>
      <c r="M57" s="78"/>
      <c r="N57" s="82"/>
    </row>
    <row r="58" spans="3:18" ht="15.75" customHeight="1">
      <c r="C58" s="19">
        <v>46068</v>
      </c>
      <c r="D58" s="20"/>
      <c r="E58" s="16" t="s">
        <v>18</v>
      </c>
      <c r="F58" s="21"/>
      <c r="G58" s="21"/>
      <c r="H58" s="72" t="s">
        <v>346</v>
      </c>
      <c r="I58" s="21"/>
      <c r="J58" s="28"/>
      <c r="K58" s="7"/>
      <c r="L58" s="8"/>
      <c r="M58" s="78"/>
      <c r="N58" s="82"/>
    </row>
    <row r="59" spans="3:18" ht="15.75" customHeight="1">
      <c r="C59" s="24">
        <v>46069</v>
      </c>
      <c r="D59" s="62"/>
      <c r="E59" s="16" t="s">
        <v>18</v>
      </c>
      <c r="F59" s="55"/>
      <c r="G59" s="21"/>
      <c r="H59" s="72" t="s">
        <v>348</v>
      </c>
      <c r="I59" s="21"/>
      <c r="J59" s="28"/>
      <c r="K59" s="7"/>
      <c r="L59" s="8"/>
      <c r="M59" s="78"/>
      <c r="N59" s="82"/>
    </row>
    <row r="60" spans="3:18" ht="15.75" customHeight="1">
      <c r="C60" s="19">
        <v>46070</v>
      </c>
      <c r="D60" s="75"/>
      <c r="E60" s="16" t="s">
        <v>18</v>
      </c>
      <c r="F60" s="55"/>
      <c r="G60" s="21"/>
      <c r="H60" s="72" t="s">
        <v>352</v>
      </c>
      <c r="I60" s="21"/>
      <c r="J60" s="28"/>
      <c r="K60" s="7"/>
      <c r="L60" s="8"/>
      <c r="M60" s="78"/>
      <c r="N60" s="82"/>
    </row>
    <row r="61" spans="3:18" ht="15.75" customHeight="1">
      <c r="C61" s="24">
        <v>46071</v>
      </c>
      <c r="D61" s="25"/>
      <c r="E61" s="16" t="s">
        <v>18</v>
      </c>
      <c r="F61" s="21"/>
      <c r="G61" s="21"/>
      <c r="H61" s="72" t="s">
        <v>356</v>
      </c>
      <c r="I61" s="21"/>
      <c r="J61" s="27"/>
      <c r="K61" s="7"/>
      <c r="L61" s="8"/>
      <c r="M61" s="78"/>
      <c r="N61" s="82"/>
    </row>
    <row r="62" spans="3:18" ht="15.75" customHeight="1">
      <c r="C62" s="19">
        <v>46072</v>
      </c>
      <c r="D62" s="20"/>
      <c r="E62" s="16" t="s">
        <v>18</v>
      </c>
      <c r="F62" s="21"/>
      <c r="G62" s="21"/>
      <c r="H62" s="72" t="s">
        <v>357</v>
      </c>
      <c r="I62" s="21"/>
      <c r="J62" s="28"/>
      <c r="K62" s="7"/>
      <c r="L62" s="8"/>
      <c r="M62" s="78"/>
      <c r="N62" s="82"/>
    </row>
    <row r="63" spans="3:18" ht="15.75" customHeight="1">
      <c r="C63" s="24">
        <v>46073</v>
      </c>
      <c r="D63" s="49"/>
      <c r="E63" s="15" t="s">
        <v>17</v>
      </c>
      <c r="F63" s="21"/>
      <c r="G63" s="21"/>
      <c r="H63" s="22" t="s">
        <v>367</v>
      </c>
      <c r="I63" s="21"/>
      <c r="J63" s="28"/>
      <c r="K63" s="7"/>
      <c r="L63" s="8"/>
      <c r="M63" s="78"/>
      <c r="N63" s="82"/>
    </row>
    <row r="64" spans="3:18" ht="15.75" customHeight="1">
      <c r="C64" s="19">
        <v>46074</v>
      </c>
      <c r="D64" s="49"/>
      <c r="E64" s="15" t="s">
        <v>17</v>
      </c>
      <c r="F64" s="21"/>
      <c r="G64" s="21"/>
      <c r="H64" s="22" t="s">
        <v>374</v>
      </c>
      <c r="I64" s="21"/>
      <c r="J64" s="28"/>
      <c r="K64" s="7"/>
      <c r="L64" s="8"/>
      <c r="M64" s="78"/>
      <c r="N64" s="82"/>
    </row>
    <row r="65" spans="3:18" ht="15.75" customHeight="1">
      <c r="C65" s="24">
        <v>46075</v>
      </c>
      <c r="D65" s="25"/>
      <c r="E65" s="15" t="s">
        <v>17</v>
      </c>
      <c r="F65" s="21"/>
      <c r="G65" s="21"/>
      <c r="H65" s="22" t="s">
        <v>376</v>
      </c>
      <c r="I65" s="21"/>
      <c r="J65" s="28"/>
      <c r="K65" s="7"/>
      <c r="L65" s="8"/>
      <c r="M65" s="78"/>
      <c r="N65" s="74"/>
    </row>
    <row r="66" spans="3:18" ht="15.75" customHeight="1">
      <c r="C66" s="19">
        <v>46076</v>
      </c>
      <c r="D66" s="20"/>
      <c r="E66" s="15" t="s">
        <v>17</v>
      </c>
      <c r="F66" s="21"/>
      <c r="G66" s="21"/>
      <c r="H66" s="22" t="s">
        <v>380</v>
      </c>
      <c r="I66" s="21"/>
      <c r="J66" s="27"/>
      <c r="K66" s="7"/>
      <c r="L66" s="8"/>
      <c r="M66" s="78"/>
      <c r="N66" s="82"/>
    </row>
    <row r="67" spans="3:18" ht="15.75" customHeight="1">
      <c r="C67" s="24">
        <v>46077</v>
      </c>
      <c r="D67" s="25"/>
      <c r="E67" s="15" t="s">
        <v>17</v>
      </c>
      <c r="F67" s="21"/>
      <c r="G67" s="21"/>
      <c r="H67" s="22" t="s">
        <v>380</v>
      </c>
      <c r="I67" s="21"/>
      <c r="J67" s="28"/>
      <c r="K67" s="7"/>
      <c r="L67" s="8"/>
      <c r="M67" s="78"/>
      <c r="N67" s="74"/>
    </row>
    <row r="68" spans="3:18" ht="15.75" customHeight="1">
      <c r="C68" s="19">
        <v>46078</v>
      </c>
      <c r="D68" s="20"/>
      <c r="E68" s="15" t="s">
        <v>17</v>
      </c>
      <c r="F68" s="21"/>
      <c r="G68" s="21"/>
      <c r="H68" s="22" t="s">
        <v>395</v>
      </c>
      <c r="I68" s="21"/>
      <c r="J68" s="28"/>
      <c r="K68" s="7"/>
      <c r="L68" s="8"/>
      <c r="M68" s="78"/>
      <c r="N68" s="82"/>
    </row>
    <row r="69" spans="3:18" ht="15.75" customHeight="1">
      <c r="C69" s="24">
        <v>46079</v>
      </c>
      <c r="D69" s="25"/>
      <c r="E69" s="15" t="s">
        <v>17</v>
      </c>
      <c r="F69" s="21"/>
      <c r="G69" s="21"/>
      <c r="H69" s="22" t="s">
        <v>396</v>
      </c>
      <c r="I69" s="21"/>
      <c r="J69" s="28"/>
      <c r="K69" s="7"/>
      <c r="L69" s="8"/>
      <c r="M69" s="78"/>
      <c r="N69" s="74"/>
    </row>
    <row r="70" spans="3:18" ht="15.75" customHeight="1">
      <c r="C70" s="19">
        <v>46080</v>
      </c>
      <c r="D70" s="20"/>
      <c r="E70" s="15" t="s">
        <v>17</v>
      </c>
      <c r="F70" s="21"/>
      <c r="G70" s="21"/>
      <c r="H70" s="22" t="s">
        <v>394</v>
      </c>
      <c r="I70" s="21"/>
      <c r="J70" s="28"/>
      <c r="K70" s="7"/>
      <c r="L70" s="8"/>
      <c r="M70" s="78"/>
      <c r="N70" s="82"/>
    </row>
    <row r="71" spans="3:18" ht="15.75" customHeight="1">
      <c r="C71" s="24">
        <v>46081</v>
      </c>
      <c r="D71" s="25"/>
      <c r="E71" s="15" t="s">
        <v>17</v>
      </c>
      <c r="F71" s="21"/>
      <c r="G71" s="21"/>
      <c r="H71" s="22" t="s">
        <v>401</v>
      </c>
      <c r="I71" s="21"/>
      <c r="J71" s="28"/>
      <c r="K71" s="7"/>
      <c r="L71" s="8"/>
      <c r="M71" s="78"/>
      <c r="N71" s="74"/>
    </row>
    <row r="72" spans="3:18" ht="15.75" customHeight="1">
      <c r="C72" s="13"/>
      <c r="K72" s="2"/>
      <c r="L72" s="2"/>
    </row>
    <row r="73" spans="3:18" ht="21">
      <c r="C73" s="164" t="s">
        <v>402</v>
      </c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6"/>
      <c r="P73" s="4" t="s">
        <v>1</v>
      </c>
      <c r="Q73" s="4" t="s">
        <v>2</v>
      </c>
      <c r="R73" s="4" t="s">
        <v>3</v>
      </c>
    </row>
    <row r="74" spans="3:18" ht="15.6">
      <c r="C74" s="14" t="s">
        <v>16</v>
      </c>
      <c r="D74" s="49" t="s">
        <v>17</v>
      </c>
      <c r="E74" s="112" t="s">
        <v>18</v>
      </c>
      <c r="F74" s="17" t="s">
        <v>19</v>
      </c>
      <c r="G74" s="17" t="s">
        <v>20</v>
      </c>
      <c r="H74" s="17" t="s">
        <v>21</v>
      </c>
      <c r="I74" s="17" t="s">
        <v>22</v>
      </c>
      <c r="J74" s="17" t="s">
        <v>2</v>
      </c>
      <c r="K74" s="18" t="s">
        <v>23</v>
      </c>
      <c r="L74" s="18" t="s">
        <v>24</v>
      </c>
      <c r="M74" s="17" t="s">
        <v>25</v>
      </c>
      <c r="N74" s="81" t="s">
        <v>26</v>
      </c>
      <c r="P74" s="6" t="s">
        <v>113</v>
      </c>
      <c r="Q74" s="7"/>
      <c r="R74" s="8"/>
    </row>
    <row r="75" spans="3:18" ht="14.4">
      <c r="C75" s="115">
        <v>46082</v>
      </c>
      <c r="D75" s="49" t="s">
        <v>17</v>
      </c>
      <c r="E75" s="116"/>
      <c r="F75" s="55"/>
      <c r="G75" s="21"/>
      <c r="H75" s="22" t="s">
        <v>403</v>
      </c>
      <c r="I75" s="23"/>
      <c r="J75" s="23"/>
      <c r="K75" s="23"/>
      <c r="L75" s="8"/>
      <c r="M75" s="78"/>
      <c r="N75" s="82"/>
      <c r="P75" s="6"/>
      <c r="Q75" s="7"/>
      <c r="R75" s="10"/>
    </row>
    <row r="76" spans="3:18" ht="14.4">
      <c r="C76" s="115">
        <v>46083</v>
      </c>
      <c r="D76" s="49" t="s">
        <v>17</v>
      </c>
      <c r="E76" s="116"/>
      <c r="F76" s="55"/>
      <c r="G76" s="26"/>
      <c r="H76" s="22" t="s">
        <v>437</v>
      </c>
      <c r="I76" s="21"/>
      <c r="J76" s="27"/>
      <c r="K76" s="7"/>
      <c r="L76" s="8"/>
      <c r="M76" s="78"/>
      <c r="N76" s="82"/>
      <c r="P76" s="6"/>
      <c r="Q76" s="7"/>
      <c r="R76" s="10"/>
    </row>
    <row r="77" spans="3:18" ht="14.4">
      <c r="C77" s="115">
        <v>46084</v>
      </c>
      <c r="D77" s="49" t="s">
        <v>17</v>
      </c>
      <c r="E77" s="116"/>
      <c r="F77" s="55"/>
      <c r="G77" s="21"/>
      <c r="H77" s="22" t="s">
        <v>404</v>
      </c>
      <c r="I77" s="21"/>
      <c r="J77" s="5"/>
      <c r="K77" s="7"/>
      <c r="L77" s="8"/>
      <c r="M77" s="78"/>
      <c r="N77" s="82"/>
      <c r="P77" s="6"/>
      <c r="Q77" s="7"/>
      <c r="R77" s="11"/>
    </row>
    <row r="78" spans="3:18" ht="14.4">
      <c r="C78" s="115">
        <v>46085</v>
      </c>
      <c r="D78" s="49" t="s">
        <v>17</v>
      </c>
      <c r="E78" s="117"/>
      <c r="F78" s="55"/>
      <c r="G78" s="21"/>
      <c r="H78" s="22" t="s">
        <v>436</v>
      </c>
      <c r="I78" s="21"/>
      <c r="J78" s="5"/>
      <c r="K78" s="7"/>
      <c r="L78" s="8"/>
      <c r="M78" s="78"/>
      <c r="N78" s="82"/>
      <c r="P78" s="6"/>
      <c r="Q78" s="7"/>
      <c r="R78" s="11"/>
    </row>
    <row r="79" spans="3:18" ht="14.4">
      <c r="C79" s="115">
        <v>46086</v>
      </c>
      <c r="D79" s="49" t="s">
        <v>17</v>
      </c>
      <c r="E79" s="116"/>
      <c r="F79" s="55"/>
      <c r="G79" s="21"/>
      <c r="H79" s="22" t="s">
        <v>430</v>
      </c>
      <c r="I79" s="21"/>
      <c r="J79" s="5"/>
      <c r="K79" s="7"/>
      <c r="L79" s="8"/>
      <c r="M79" s="78"/>
      <c r="N79" s="82"/>
      <c r="P79" s="6"/>
      <c r="Q79" s="7"/>
      <c r="R79" s="12"/>
    </row>
    <row r="80" spans="3:18" ht="14.4">
      <c r="C80" s="115">
        <v>46087</v>
      </c>
      <c r="D80" s="49" t="s">
        <v>17</v>
      </c>
      <c r="E80" s="116"/>
      <c r="F80" s="55"/>
      <c r="G80" s="21"/>
      <c r="H80" s="22" t="s">
        <v>435</v>
      </c>
      <c r="I80" s="21"/>
      <c r="J80" s="28"/>
      <c r="K80" s="7"/>
      <c r="L80" s="8"/>
      <c r="M80" s="78"/>
      <c r="N80" s="82"/>
      <c r="P80" s="6"/>
      <c r="Q80" s="7"/>
      <c r="R80" s="12"/>
    </row>
    <row r="81" spans="3:18" ht="14.4">
      <c r="C81" s="115">
        <v>46088</v>
      </c>
      <c r="D81" s="49" t="s">
        <v>17</v>
      </c>
      <c r="E81" s="116"/>
      <c r="F81" s="55"/>
      <c r="G81" s="21"/>
      <c r="H81" s="22" t="s">
        <v>447</v>
      </c>
      <c r="I81" s="21"/>
      <c r="J81" s="28"/>
      <c r="K81" s="7"/>
      <c r="L81" s="8"/>
      <c r="M81" s="78"/>
      <c r="N81" s="82"/>
      <c r="P81" s="6"/>
      <c r="Q81" s="7"/>
      <c r="R81" s="12"/>
    </row>
    <row r="82" spans="3:18" ht="14.4">
      <c r="C82" s="115">
        <v>46089</v>
      </c>
      <c r="D82" s="49" t="s">
        <v>17</v>
      </c>
      <c r="E82" s="116"/>
      <c r="F82" s="55"/>
      <c r="G82" s="21"/>
      <c r="H82" s="22" t="s">
        <v>448</v>
      </c>
      <c r="I82" s="21"/>
      <c r="J82" s="27"/>
      <c r="K82" s="7"/>
      <c r="L82" s="8"/>
      <c r="M82" s="79"/>
      <c r="N82" s="82"/>
      <c r="P82" s="6"/>
      <c r="Q82" s="7"/>
      <c r="R82" s="12"/>
    </row>
    <row r="83" spans="3:18" ht="14.4">
      <c r="C83" s="115">
        <v>46090</v>
      </c>
      <c r="D83" s="49" t="s">
        <v>17</v>
      </c>
      <c r="E83" s="116"/>
      <c r="F83" s="55"/>
      <c r="G83" s="21"/>
      <c r="H83" s="22" t="s">
        <v>449</v>
      </c>
      <c r="I83" s="21"/>
      <c r="J83" s="28"/>
      <c r="K83" s="7"/>
      <c r="L83" s="8"/>
      <c r="M83" s="78"/>
      <c r="N83" s="82"/>
      <c r="P83" s="6"/>
      <c r="Q83" s="7"/>
      <c r="R83" s="12"/>
    </row>
    <row r="84" spans="3:18" ht="14.4">
      <c r="C84" s="115">
        <v>46091</v>
      </c>
      <c r="D84" s="119"/>
      <c r="E84" s="76" t="s">
        <v>18</v>
      </c>
      <c r="F84" s="55"/>
      <c r="G84" s="21"/>
      <c r="H84" s="22" t="s">
        <v>445</v>
      </c>
      <c r="I84" s="21"/>
      <c r="J84" s="27"/>
      <c r="K84" s="7"/>
      <c r="L84" s="8"/>
      <c r="M84" s="78"/>
      <c r="N84" s="82"/>
      <c r="P84" s="6"/>
      <c r="Q84" s="7"/>
      <c r="R84" s="12"/>
    </row>
    <row r="85" spans="3:18" ht="14.4">
      <c r="C85" s="115">
        <v>46092</v>
      </c>
      <c r="D85" s="116"/>
      <c r="E85" s="76" t="s">
        <v>18</v>
      </c>
      <c r="F85" s="55"/>
      <c r="G85" s="21"/>
      <c r="H85" s="22" t="s">
        <v>445</v>
      </c>
      <c r="I85" s="21"/>
      <c r="J85" s="28"/>
      <c r="K85" s="7"/>
      <c r="L85" s="8"/>
      <c r="M85" s="78"/>
      <c r="N85" s="82"/>
      <c r="P85" s="6"/>
      <c r="Q85" s="7"/>
      <c r="R85" s="12"/>
    </row>
    <row r="86" spans="3:18" ht="14.4">
      <c r="C86" s="115">
        <v>46093</v>
      </c>
      <c r="D86" s="119"/>
      <c r="E86" s="49" t="s">
        <v>17</v>
      </c>
      <c r="F86" s="55"/>
      <c r="G86" s="21"/>
      <c r="H86" s="22" t="s">
        <v>467</v>
      </c>
      <c r="I86" s="21"/>
      <c r="J86" s="28"/>
      <c r="K86" s="7"/>
      <c r="L86" s="8"/>
      <c r="M86" s="78"/>
      <c r="N86" s="82"/>
    </row>
    <row r="87" spans="3:18" ht="15.75" customHeight="1">
      <c r="C87" s="115">
        <v>46094</v>
      </c>
      <c r="D87" s="118"/>
      <c r="E87" s="49" t="s">
        <v>17</v>
      </c>
      <c r="F87" s="55"/>
      <c r="G87" s="21"/>
      <c r="H87" s="22" t="s">
        <v>470</v>
      </c>
      <c r="I87" s="21"/>
      <c r="J87" s="28"/>
      <c r="K87" s="7"/>
      <c r="L87" s="8"/>
      <c r="M87" s="78"/>
      <c r="N87" s="82"/>
    </row>
    <row r="88" spans="3:18" ht="15.75" customHeight="1">
      <c r="C88" s="115">
        <v>46095</v>
      </c>
      <c r="D88" s="119"/>
      <c r="E88" s="49" t="s">
        <v>17</v>
      </c>
      <c r="F88" s="55"/>
      <c r="G88" s="21"/>
      <c r="H88" s="22" t="s">
        <v>471</v>
      </c>
      <c r="I88" s="21"/>
      <c r="J88" s="28"/>
      <c r="K88" s="7"/>
      <c r="L88" s="8"/>
      <c r="M88" s="78"/>
      <c r="N88" s="82"/>
    </row>
    <row r="89" spans="3:18" ht="15.75" customHeight="1">
      <c r="C89" s="115">
        <v>46096</v>
      </c>
      <c r="D89" s="118"/>
      <c r="E89" s="49" t="s">
        <v>17</v>
      </c>
      <c r="F89" s="55"/>
      <c r="G89" s="21"/>
      <c r="H89" s="22" t="s">
        <v>472</v>
      </c>
      <c r="I89" s="21"/>
      <c r="J89" s="28"/>
      <c r="K89" s="7"/>
      <c r="L89" s="8"/>
      <c r="M89" s="78"/>
      <c r="N89" s="82"/>
    </row>
    <row r="90" spans="3:18" ht="15.75" customHeight="1">
      <c r="C90" s="115">
        <v>46097</v>
      </c>
      <c r="D90" s="120"/>
      <c r="E90" s="49" t="s">
        <v>17</v>
      </c>
      <c r="F90" s="55"/>
      <c r="G90" s="21"/>
      <c r="H90" s="22" t="s">
        <v>473</v>
      </c>
      <c r="I90" s="21"/>
      <c r="J90" s="28"/>
      <c r="K90" s="7"/>
      <c r="L90" s="8"/>
      <c r="M90" s="78"/>
      <c r="N90" s="82"/>
    </row>
    <row r="91" spans="3:18" ht="15.75" customHeight="1">
      <c r="C91" s="115">
        <v>46098</v>
      </c>
      <c r="D91" s="118"/>
      <c r="E91" s="76" t="s">
        <v>18</v>
      </c>
      <c r="F91" s="55"/>
      <c r="G91" s="21"/>
      <c r="H91" s="22" t="s">
        <v>493</v>
      </c>
      <c r="I91" s="21"/>
      <c r="J91" s="28"/>
      <c r="K91" s="7"/>
      <c r="L91" s="8"/>
      <c r="M91" s="78"/>
      <c r="N91" s="82"/>
    </row>
    <row r="92" spans="3:18" ht="15.75" customHeight="1">
      <c r="C92" s="115">
        <v>46099</v>
      </c>
      <c r="D92" s="119"/>
      <c r="E92" s="49" t="s">
        <v>17</v>
      </c>
      <c r="F92" s="55"/>
      <c r="G92" s="21"/>
      <c r="H92" s="22" t="s">
        <v>508</v>
      </c>
      <c r="I92" s="21"/>
      <c r="J92" s="27"/>
      <c r="K92" s="7"/>
      <c r="L92" s="8"/>
      <c r="M92" s="78"/>
      <c r="N92" s="82"/>
    </row>
    <row r="93" spans="3:18" ht="15.75" customHeight="1">
      <c r="C93" s="115">
        <v>46100</v>
      </c>
      <c r="D93" s="118"/>
      <c r="E93" s="76" t="s">
        <v>18</v>
      </c>
      <c r="F93" s="55"/>
      <c r="G93" s="21"/>
      <c r="H93" s="22" t="s">
        <v>509</v>
      </c>
      <c r="I93" s="21"/>
      <c r="J93" s="28"/>
      <c r="K93" s="7"/>
      <c r="L93" s="8"/>
      <c r="M93" s="78"/>
      <c r="N93" s="82"/>
    </row>
    <row r="94" spans="3:18" ht="15.75" customHeight="1">
      <c r="C94" s="115">
        <v>46101</v>
      </c>
      <c r="D94" s="116"/>
      <c r="E94" s="49" t="s">
        <v>17</v>
      </c>
      <c r="F94" s="55"/>
      <c r="G94" s="21"/>
      <c r="H94" s="22" t="s">
        <v>514</v>
      </c>
      <c r="I94" s="21"/>
      <c r="J94" s="28"/>
      <c r="K94" s="7"/>
      <c r="L94" s="8"/>
      <c r="M94" s="78"/>
      <c r="N94" s="82"/>
    </row>
    <row r="95" spans="3:18" ht="15.75" customHeight="1">
      <c r="C95" s="115">
        <v>46102</v>
      </c>
      <c r="D95" s="116"/>
      <c r="E95" s="76" t="s">
        <v>18</v>
      </c>
      <c r="F95" s="55"/>
      <c r="G95" s="21"/>
      <c r="H95" s="22" t="s">
        <v>524</v>
      </c>
      <c r="I95" s="21"/>
      <c r="J95" s="28"/>
      <c r="K95" s="7"/>
      <c r="L95" s="8"/>
      <c r="M95" s="78"/>
      <c r="N95" s="82"/>
    </row>
    <row r="96" spans="3:18" ht="15.75" customHeight="1">
      <c r="C96" s="115">
        <v>46103</v>
      </c>
      <c r="D96" s="119"/>
      <c r="E96" s="76" t="s">
        <v>18</v>
      </c>
      <c r="F96" s="55"/>
      <c r="G96" s="21"/>
      <c r="H96" s="22" t="s">
        <v>525</v>
      </c>
      <c r="I96" s="21"/>
      <c r="J96" s="28"/>
      <c r="K96" s="7"/>
      <c r="L96" s="8"/>
      <c r="M96" s="78"/>
      <c r="N96" s="74"/>
    </row>
    <row r="97" spans="3:14" ht="15.75" customHeight="1">
      <c r="C97" s="115">
        <v>46104</v>
      </c>
      <c r="D97" s="118"/>
      <c r="E97" s="76" t="s">
        <v>18</v>
      </c>
      <c r="F97" s="55"/>
      <c r="G97" s="21"/>
      <c r="H97" s="22" t="s">
        <v>526</v>
      </c>
      <c r="I97" s="21"/>
      <c r="J97" s="27"/>
      <c r="K97" s="7"/>
      <c r="L97" s="8"/>
      <c r="M97" s="78"/>
      <c r="N97" s="82"/>
    </row>
    <row r="98" spans="3:14" ht="15.75" customHeight="1">
      <c r="C98" s="115">
        <v>46105</v>
      </c>
      <c r="D98" s="119"/>
      <c r="E98" s="76" t="s">
        <v>18</v>
      </c>
      <c r="F98" s="55"/>
      <c r="G98" s="21"/>
      <c r="H98" s="22" t="s">
        <v>527</v>
      </c>
      <c r="I98" s="21"/>
      <c r="J98" s="28"/>
      <c r="K98" s="7"/>
      <c r="L98" s="8"/>
      <c r="M98" s="78"/>
      <c r="N98" s="74"/>
    </row>
    <row r="99" spans="3:14" ht="15.75" customHeight="1">
      <c r="C99" s="115">
        <v>46106</v>
      </c>
      <c r="D99" s="118"/>
      <c r="E99" s="49" t="s">
        <v>17</v>
      </c>
      <c r="F99" s="55"/>
      <c r="G99" s="21"/>
      <c r="H99" s="22" t="s">
        <v>545</v>
      </c>
      <c r="I99" s="21"/>
      <c r="J99" s="28"/>
      <c r="K99" s="7"/>
      <c r="L99" s="8"/>
      <c r="M99" s="78"/>
      <c r="N99" s="82"/>
    </row>
    <row r="100" spans="3:14" ht="15.75" customHeight="1">
      <c r="C100" s="115">
        <v>46107</v>
      </c>
      <c r="D100" s="119"/>
      <c r="E100" s="49" t="s">
        <v>17</v>
      </c>
      <c r="F100" s="55"/>
      <c r="G100" s="21"/>
      <c r="H100" s="22" t="s">
        <v>546</v>
      </c>
      <c r="I100" s="21"/>
      <c r="J100" s="28"/>
      <c r="K100" s="7"/>
      <c r="L100" s="8"/>
      <c r="M100" s="78"/>
      <c r="N100" s="74"/>
    </row>
    <row r="101" spans="3:14" ht="15.75" customHeight="1">
      <c r="C101" s="115">
        <v>46108</v>
      </c>
      <c r="D101" s="119"/>
      <c r="E101" s="76" t="s">
        <v>18</v>
      </c>
      <c r="F101" s="55"/>
      <c r="G101" s="21"/>
      <c r="H101" s="22" t="s">
        <v>527</v>
      </c>
      <c r="I101" s="21"/>
      <c r="J101" s="28"/>
      <c r="K101" s="7"/>
      <c r="L101" s="8"/>
      <c r="M101" s="78"/>
      <c r="N101" s="74"/>
    </row>
    <row r="102" spans="3:14" ht="15.75" customHeight="1">
      <c r="C102" s="115">
        <v>46109</v>
      </c>
      <c r="D102" s="119"/>
      <c r="E102" s="49" t="s">
        <v>17</v>
      </c>
      <c r="F102" s="55"/>
      <c r="G102" s="21"/>
      <c r="H102" s="22" t="s">
        <v>546</v>
      </c>
      <c r="I102" s="21"/>
      <c r="J102" s="28"/>
      <c r="K102" s="7"/>
      <c r="L102" s="8"/>
      <c r="M102" s="78"/>
      <c r="N102" s="74"/>
    </row>
    <row r="103" spans="3:14" ht="15.75" customHeight="1">
      <c r="C103" s="115">
        <v>46110</v>
      </c>
      <c r="D103" s="119"/>
      <c r="E103" s="49" t="s">
        <v>17</v>
      </c>
      <c r="F103" s="55"/>
      <c r="G103" s="21"/>
      <c r="H103" s="22" t="s">
        <v>546</v>
      </c>
      <c r="I103" s="21"/>
      <c r="J103" s="28"/>
      <c r="K103" s="7"/>
      <c r="L103" s="8"/>
      <c r="M103" s="78"/>
      <c r="N103" s="74"/>
    </row>
    <row r="104" spans="3:14" ht="15.75" customHeight="1">
      <c r="C104" s="115">
        <v>46111</v>
      </c>
      <c r="D104" s="119"/>
      <c r="E104" s="49" t="s">
        <v>17</v>
      </c>
      <c r="F104" s="55"/>
      <c r="G104" s="21"/>
      <c r="H104" s="22" t="s">
        <v>546</v>
      </c>
      <c r="I104" s="21"/>
      <c r="J104" s="28"/>
      <c r="K104" s="7"/>
      <c r="L104" s="8"/>
      <c r="M104" s="78"/>
      <c r="N104" s="74"/>
    </row>
    <row r="105" spans="3:14" ht="15.75" customHeight="1">
      <c r="C105" s="115">
        <v>46112</v>
      </c>
      <c r="D105" s="118"/>
      <c r="E105" s="49" t="s">
        <v>17</v>
      </c>
      <c r="F105" s="55"/>
      <c r="G105" s="21"/>
      <c r="H105" s="22" t="s">
        <v>555</v>
      </c>
      <c r="I105" s="21"/>
      <c r="J105" s="28"/>
      <c r="K105" s="7"/>
      <c r="L105" s="8"/>
      <c r="M105" s="78"/>
      <c r="N105" s="82"/>
    </row>
    <row r="106" spans="3:14" ht="15.75" customHeight="1">
      <c r="C106" s="115">
        <v>46113</v>
      </c>
      <c r="D106" s="119"/>
      <c r="E106" s="116"/>
      <c r="F106" s="55"/>
      <c r="G106" s="21"/>
      <c r="H106" s="22"/>
      <c r="I106" s="21"/>
      <c r="J106" s="28"/>
      <c r="K106" s="7"/>
      <c r="L106" s="8"/>
      <c r="M106" s="78"/>
      <c r="N106" s="74"/>
    </row>
    <row r="107" spans="3:14" ht="15.75" customHeight="1">
      <c r="C107" s="13"/>
      <c r="K107" s="2"/>
      <c r="L107" s="2"/>
    </row>
    <row r="108" spans="3:14" ht="15.75" customHeight="1">
      <c r="C108" s="13"/>
      <c r="K108" s="2"/>
      <c r="L108" s="2"/>
    </row>
    <row r="109" spans="3:14" ht="15.75" customHeight="1">
      <c r="C109" s="13"/>
      <c r="K109" s="2"/>
      <c r="L109" s="2"/>
    </row>
    <row r="110" spans="3:14" ht="15.75" customHeight="1">
      <c r="C110" s="13"/>
      <c r="K110" s="2"/>
      <c r="L110" s="2"/>
    </row>
    <row r="111" spans="3:14" ht="15.75" customHeight="1">
      <c r="C111" s="13"/>
      <c r="K111" s="2"/>
      <c r="L111" s="2"/>
    </row>
    <row r="112" spans="3:14" ht="15.75" customHeight="1">
      <c r="C112" s="13"/>
      <c r="K112" s="2"/>
      <c r="L112" s="2"/>
    </row>
    <row r="113" spans="3:12" ht="15.75" customHeight="1">
      <c r="C113" s="13"/>
      <c r="K113" s="2"/>
      <c r="L113" s="2"/>
    </row>
    <row r="114" spans="3:12" ht="15.75" customHeight="1">
      <c r="C114" s="13"/>
      <c r="K114" s="2"/>
      <c r="L114" s="2"/>
    </row>
    <row r="115" spans="3:12" ht="15.75" customHeight="1">
      <c r="C115" s="13"/>
      <c r="K115" s="2"/>
      <c r="L115" s="2"/>
    </row>
    <row r="116" spans="3:12" ht="15.75" customHeight="1">
      <c r="C116" s="13"/>
      <c r="K116" s="2"/>
      <c r="L116" s="2"/>
    </row>
    <row r="117" spans="3:12" ht="15.75" customHeight="1">
      <c r="C117" s="13"/>
      <c r="K117" s="2"/>
      <c r="L117" s="2"/>
    </row>
    <row r="118" spans="3:12" ht="15.75" customHeight="1">
      <c r="C118" s="13"/>
      <c r="K118" s="2"/>
      <c r="L118" s="2"/>
    </row>
    <row r="119" spans="3:12" ht="15.75" customHeight="1">
      <c r="C119" s="13"/>
      <c r="K119" s="2"/>
      <c r="L119" s="2"/>
    </row>
    <row r="120" spans="3:12" ht="15.75" customHeight="1">
      <c r="C120" s="13"/>
      <c r="K120" s="2"/>
      <c r="L120" s="2"/>
    </row>
    <row r="121" spans="3:12" ht="15.75" customHeight="1">
      <c r="C121" s="13"/>
      <c r="K121" s="2"/>
      <c r="L121" s="2"/>
    </row>
    <row r="122" spans="3:12" ht="15.75" customHeight="1">
      <c r="C122" s="13"/>
      <c r="K122" s="2"/>
      <c r="L122" s="2"/>
    </row>
    <row r="123" spans="3:12" ht="15.75" customHeight="1">
      <c r="C123" s="13"/>
      <c r="K123" s="2"/>
      <c r="L123" s="2"/>
    </row>
    <row r="124" spans="3:12" ht="15.75" customHeight="1">
      <c r="C124" s="13"/>
      <c r="K124" s="2"/>
      <c r="L124" s="2"/>
    </row>
    <row r="125" spans="3:12" ht="15.75" customHeight="1">
      <c r="C125" s="13"/>
      <c r="K125" s="2"/>
      <c r="L125" s="2"/>
    </row>
    <row r="126" spans="3:12" ht="15.75" customHeight="1">
      <c r="C126" s="13"/>
      <c r="K126" s="2"/>
      <c r="L126" s="2"/>
    </row>
    <row r="127" spans="3:12" ht="15.75" customHeight="1">
      <c r="C127" s="13"/>
      <c r="K127" s="2"/>
      <c r="L127" s="2"/>
    </row>
    <row r="128" spans="3:12" ht="15.75" customHeight="1">
      <c r="C128" s="13"/>
      <c r="K128" s="2"/>
      <c r="L128" s="2"/>
    </row>
    <row r="129" spans="3:12" ht="15.75" customHeight="1">
      <c r="C129" s="13"/>
      <c r="K129" s="2"/>
      <c r="L129" s="2"/>
    </row>
    <row r="130" spans="3:12" ht="15.75" customHeight="1">
      <c r="C130" s="13"/>
      <c r="K130" s="2"/>
      <c r="L130" s="2"/>
    </row>
    <row r="131" spans="3:12" ht="15.75" customHeight="1">
      <c r="C131" s="13"/>
      <c r="K131" s="2"/>
      <c r="L131" s="2"/>
    </row>
    <row r="132" spans="3:12" ht="15.75" customHeight="1">
      <c r="C132" s="13"/>
      <c r="K132" s="2"/>
      <c r="L132" s="2"/>
    </row>
    <row r="133" spans="3:12" ht="15.75" customHeight="1">
      <c r="C133" s="13"/>
      <c r="K133" s="2"/>
      <c r="L133" s="2"/>
    </row>
    <row r="134" spans="3:12" ht="15.75" customHeight="1">
      <c r="C134" s="13"/>
      <c r="K134" s="2"/>
      <c r="L134" s="2"/>
    </row>
    <row r="135" spans="3:12" ht="15.75" customHeight="1">
      <c r="C135" s="13"/>
      <c r="K135" s="2"/>
      <c r="L135" s="2"/>
    </row>
    <row r="136" spans="3:12" ht="15.75" customHeight="1">
      <c r="C136" s="13"/>
      <c r="K136" s="2"/>
      <c r="L136" s="2"/>
    </row>
    <row r="137" spans="3:12" ht="15.75" customHeight="1">
      <c r="C137" s="13"/>
      <c r="K137" s="2"/>
      <c r="L137" s="2"/>
    </row>
    <row r="138" spans="3:12" ht="15.75" customHeight="1">
      <c r="C138" s="13"/>
      <c r="K138" s="2"/>
      <c r="L138" s="2"/>
    </row>
    <row r="139" spans="3:12" ht="15.75" customHeight="1">
      <c r="C139" s="13"/>
      <c r="K139" s="2"/>
      <c r="L139" s="2"/>
    </row>
    <row r="140" spans="3:12" ht="15.75" customHeight="1">
      <c r="C140" s="13"/>
      <c r="K140" s="2"/>
      <c r="L140" s="2"/>
    </row>
    <row r="141" spans="3:12" ht="15.75" customHeight="1">
      <c r="C141" s="13"/>
      <c r="K141" s="2"/>
      <c r="L141" s="2"/>
    </row>
    <row r="142" spans="3:12" ht="15.75" customHeight="1">
      <c r="C142" s="13"/>
      <c r="K142" s="2"/>
      <c r="L142" s="2"/>
    </row>
    <row r="143" spans="3:12" ht="15.75" customHeight="1">
      <c r="C143" s="13"/>
      <c r="K143" s="2"/>
      <c r="L143" s="2"/>
    </row>
    <row r="144" spans="3:12" ht="15.75" customHeight="1">
      <c r="C144" s="13"/>
      <c r="K144" s="2"/>
      <c r="L144" s="2"/>
    </row>
    <row r="145" spans="3:12" ht="15.75" customHeight="1">
      <c r="C145" s="13"/>
      <c r="K145" s="2"/>
      <c r="L145" s="2"/>
    </row>
    <row r="146" spans="3:12" ht="15.75" customHeight="1">
      <c r="C146" s="13"/>
      <c r="K146" s="2"/>
      <c r="L146" s="2"/>
    </row>
    <row r="147" spans="3:12" ht="15.75" customHeight="1">
      <c r="C147" s="13"/>
      <c r="K147" s="2"/>
      <c r="L147" s="2"/>
    </row>
    <row r="148" spans="3:12" ht="15.75" customHeight="1">
      <c r="C148" s="13"/>
      <c r="K148" s="2"/>
      <c r="L148" s="2"/>
    </row>
    <row r="149" spans="3:12" ht="15.75" customHeight="1">
      <c r="C149" s="13"/>
      <c r="K149" s="2"/>
      <c r="L149" s="2"/>
    </row>
    <row r="150" spans="3:12" ht="15.75" customHeight="1">
      <c r="C150" s="13"/>
      <c r="K150" s="2"/>
      <c r="L150" s="2"/>
    </row>
    <row r="151" spans="3:12" ht="15.75" customHeight="1">
      <c r="C151" s="13"/>
      <c r="K151" s="2"/>
      <c r="L151" s="2"/>
    </row>
    <row r="152" spans="3:12" ht="15.75" customHeight="1">
      <c r="C152" s="13"/>
      <c r="K152" s="2"/>
      <c r="L152" s="2"/>
    </row>
    <row r="153" spans="3:12" ht="15.75" customHeight="1">
      <c r="C153" s="13"/>
      <c r="K153" s="2"/>
      <c r="L153" s="2"/>
    </row>
    <row r="154" spans="3:12" ht="15.75" customHeight="1">
      <c r="C154" s="13"/>
      <c r="K154" s="2"/>
      <c r="L154" s="2"/>
    </row>
    <row r="155" spans="3:12" ht="15.75" customHeight="1">
      <c r="C155" s="13"/>
      <c r="K155" s="2"/>
      <c r="L155" s="2"/>
    </row>
    <row r="156" spans="3:12" ht="15.75" customHeight="1">
      <c r="C156" s="13"/>
      <c r="K156" s="2"/>
      <c r="L156" s="2"/>
    </row>
    <row r="157" spans="3:12" ht="15.75" customHeight="1">
      <c r="C157" s="13"/>
      <c r="K157" s="2"/>
      <c r="L157" s="2"/>
    </row>
    <row r="158" spans="3:12" ht="15.75" customHeight="1">
      <c r="C158" s="13"/>
      <c r="K158" s="2"/>
      <c r="L158" s="2"/>
    </row>
    <row r="159" spans="3:12" ht="15.75" customHeight="1">
      <c r="C159" s="13"/>
      <c r="K159" s="2"/>
      <c r="L159" s="2"/>
    </row>
    <row r="160" spans="3:12" ht="15.75" customHeight="1">
      <c r="C160" s="13"/>
      <c r="K160" s="2"/>
      <c r="L160" s="2"/>
    </row>
    <row r="161" spans="3:12" ht="15.75" customHeight="1">
      <c r="C161" s="13"/>
      <c r="K161" s="2"/>
      <c r="L161" s="2"/>
    </row>
    <row r="162" spans="3:12" ht="15.75" customHeight="1">
      <c r="C162" s="13"/>
      <c r="K162" s="2"/>
      <c r="L162" s="2"/>
    </row>
    <row r="163" spans="3:12" ht="15.75" customHeight="1">
      <c r="C163" s="13"/>
      <c r="K163" s="2"/>
      <c r="L163" s="2"/>
    </row>
    <row r="164" spans="3:12" ht="15.75" customHeight="1">
      <c r="C164" s="13"/>
      <c r="K164" s="2"/>
      <c r="L164" s="2"/>
    </row>
    <row r="165" spans="3:12" ht="15.75" customHeight="1">
      <c r="C165" s="13"/>
      <c r="K165" s="2"/>
      <c r="L165" s="2"/>
    </row>
    <row r="166" spans="3:12" ht="15.75" customHeight="1">
      <c r="C166" s="13"/>
      <c r="K166" s="2"/>
      <c r="L166" s="2"/>
    </row>
    <row r="167" spans="3:12" ht="15.75" customHeight="1">
      <c r="C167" s="13"/>
      <c r="K167" s="2"/>
      <c r="L167" s="2"/>
    </row>
    <row r="168" spans="3:12" ht="15.75" customHeight="1">
      <c r="C168" s="13"/>
      <c r="K168" s="2"/>
      <c r="L168" s="2"/>
    </row>
    <row r="169" spans="3:12" ht="15.75" customHeight="1">
      <c r="C169" s="13"/>
      <c r="K169" s="2"/>
      <c r="L169" s="2"/>
    </row>
    <row r="170" spans="3:12" ht="15.75" customHeight="1">
      <c r="C170" s="13"/>
      <c r="K170" s="2"/>
      <c r="L170" s="2"/>
    </row>
    <row r="171" spans="3:12" ht="15.75" customHeight="1">
      <c r="C171" s="13"/>
      <c r="K171" s="2"/>
      <c r="L171" s="2"/>
    </row>
    <row r="172" spans="3:12" ht="15.75" customHeight="1">
      <c r="C172" s="13"/>
      <c r="K172" s="2"/>
      <c r="L172" s="2"/>
    </row>
    <row r="173" spans="3:12" ht="15.75" customHeight="1">
      <c r="C173" s="13"/>
      <c r="K173" s="2"/>
      <c r="L173" s="2"/>
    </row>
    <row r="174" spans="3:12" ht="15.75" customHeight="1">
      <c r="C174" s="13"/>
      <c r="K174" s="2"/>
      <c r="L174" s="2"/>
    </row>
    <row r="175" spans="3:12" ht="15.75" customHeight="1">
      <c r="C175" s="13"/>
      <c r="K175" s="2"/>
      <c r="L175" s="2"/>
    </row>
    <row r="176" spans="3:12" ht="15.75" customHeight="1">
      <c r="C176" s="13"/>
      <c r="K176" s="2"/>
      <c r="L176" s="2"/>
    </row>
    <row r="177" spans="3:12" ht="15.75" customHeight="1">
      <c r="C177" s="13"/>
      <c r="K177" s="2"/>
      <c r="L177" s="2"/>
    </row>
    <row r="178" spans="3:12" ht="15.75" customHeight="1">
      <c r="C178" s="13"/>
      <c r="K178" s="2"/>
      <c r="L178" s="2"/>
    </row>
    <row r="179" spans="3:12" ht="15.75" customHeight="1">
      <c r="C179" s="13"/>
      <c r="K179" s="2"/>
      <c r="L179" s="2"/>
    </row>
    <row r="180" spans="3:12" ht="15.75" customHeight="1">
      <c r="C180" s="13"/>
      <c r="K180" s="2"/>
      <c r="L180" s="2"/>
    </row>
    <row r="181" spans="3:12" ht="15.75" customHeight="1">
      <c r="C181" s="13"/>
      <c r="K181" s="2"/>
      <c r="L181" s="2"/>
    </row>
    <row r="182" spans="3:12" ht="15.75" customHeight="1">
      <c r="C182" s="13"/>
      <c r="K182" s="2"/>
      <c r="L182" s="2"/>
    </row>
    <row r="183" spans="3:12" ht="15.75" customHeight="1">
      <c r="C183" s="13"/>
      <c r="K183" s="2"/>
      <c r="L183" s="2"/>
    </row>
    <row r="184" spans="3:12" ht="15.75" customHeight="1">
      <c r="C184" s="13"/>
      <c r="K184" s="2"/>
      <c r="L184" s="2"/>
    </row>
    <row r="185" spans="3:12" ht="15.75" customHeight="1">
      <c r="C185" s="13"/>
      <c r="K185" s="2"/>
      <c r="L185" s="2"/>
    </row>
    <row r="186" spans="3:12" ht="15.75" customHeight="1">
      <c r="C186" s="13"/>
      <c r="K186" s="2"/>
      <c r="L186" s="2"/>
    </row>
    <row r="187" spans="3:12" ht="15.75" customHeight="1">
      <c r="C187" s="13"/>
      <c r="K187" s="2"/>
      <c r="L187" s="2"/>
    </row>
    <row r="188" spans="3:12" ht="15.75" customHeight="1">
      <c r="C188" s="13"/>
      <c r="K188" s="2"/>
      <c r="L188" s="2"/>
    </row>
    <row r="189" spans="3:12" ht="15.75" customHeight="1">
      <c r="C189" s="13"/>
      <c r="K189" s="2"/>
      <c r="L189" s="2"/>
    </row>
    <row r="190" spans="3:12" ht="15.75" customHeight="1">
      <c r="C190" s="13"/>
      <c r="K190" s="2"/>
      <c r="L190" s="2"/>
    </row>
    <row r="191" spans="3:12" ht="15.75" customHeight="1">
      <c r="C191" s="13"/>
      <c r="K191" s="2"/>
      <c r="L191" s="2"/>
    </row>
    <row r="192" spans="3:12" ht="15.75" customHeight="1">
      <c r="C192" s="13"/>
      <c r="K192" s="2"/>
      <c r="L192" s="2"/>
    </row>
    <row r="193" spans="3:12" ht="15.75" customHeight="1">
      <c r="C193" s="13"/>
      <c r="K193" s="2"/>
      <c r="L193" s="2"/>
    </row>
    <row r="194" spans="3:12" ht="15.75" customHeight="1">
      <c r="C194" s="13"/>
      <c r="K194" s="2"/>
      <c r="L194" s="2"/>
    </row>
    <row r="195" spans="3:12" ht="15.75" customHeight="1">
      <c r="C195" s="13"/>
      <c r="K195" s="2"/>
      <c r="L195" s="2"/>
    </row>
    <row r="196" spans="3:12" ht="15.75" customHeight="1">
      <c r="C196" s="13"/>
      <c r="K196" s="2"/>
      <c r="L196" s="2"/>
    </row>
    <row r="197" spans="3:12" ht="15.75" customHeight="1">
      <c r="C197" s="13"/>
      <c r="K197" s="2"/>
      <c r="L197" s="2"/>
    </row>
    <row r="198" spans="3:12" ht="15.75" customHeight="1">
      <c r="C198" s="13"/>
      <c r="K198" s="2"/>
      <c r="L198" s="2"/>
    </row>
    <row r="199" spans="3:12" ht="15.75" customHeight="1">
      <c r="C199" s="13"/>
      <c r="K199" s="2"/>
      <c r="L199" s="2"/>
    </row>
    <row r="200" spans="3:12" ht="15.75" customHeight="1">
      <c r="C200" s="13"/>
      <c r="K200" s="2"/>
      <c r="L200" s="2"/>
    </row>
    <row r="201" spans="3:12" ht="15.75" customHeight="1">
      <c r="C201" s="13"/>
      <c r="K201" s="2"/>
      <c r="L201" s="2"/>
    </row>
    <row r="202" spans="3:12" ht="15.75" customHeight="1">
      <c r="C202" s="13"/>
      <c r="K202" s="2"/>
      <c r="L202" s="2"/>
    </row>
    <row r="203" spans="3:12" ht="15.75" customHeight="1">
      <c r="C203" s="13"/>
      <c r="K203" s="2"/>
      <c r="L203" s="2"/>
    </row>
    <row r="204" spans="3:12" ht="15.75" customHeight="1">
      <c r="C204" s="13"/>
      <c r="K204" s="2"/>
      <c r="L204" s="2"/>
    </row>
    <row r="205" spans="3:12" ht="15.75" customHeight="1">
      <c r="C205" s="13"/>
      <c r="K205" s="2"/>
      <c r="L205" s="2"/>
    </row>
    <row r="206" spans="3:12" ht="15.75" customHeight="1">
      <c r="C206" s="13"/>
      <c r="K206" s="2"/>
      <c r="L206" s="2"/>
    </row>
    <row r="207" spans="3:12" ht="15.75" customHeight="1">
      <c r="C207" s="13"/>
      <c r="K207" s="2"/>
      <c r="L207" s="2"/>
    </row>
    <row r="208" spans="3:12" ht="15.75" customHeight="1">
      <c r="C208" s="13"/>
      <c r="K208" s="2"/>
      <c r="L208" s="2"/>
    </row>
    <row r="209" spans="3:12" ht="15.75" customHeight="1">
      <c r="C209" s="13"/>
      <c r="K209" s="2"/>
      <c r="L209" s="2"/>
    </row>
    <row r="210" spans="3:12" ht="15.75" customHeight="1">
      <c r="C210" s="13"/>
      <c r="K210" s="2"/>
      <c r="L210" s="2"/>
    </row>
    <row r="211" spans="3:12" ht="15.75" customHeight="1">
      <c r="C211" s="13"/>
      <c r="K211" s="2"/>
      <c r="L211" s="2"/>
    </row>
    <row r="212" spans="3:12" ht="15.75" customHeight="1">
      <c r="C212" s="13"/>
      <c r="K212" s="2"/>
      <c r="L212" s="2"/>
    </row>
    <row r="213" spans="3:12" ht="15.75" customHeight="1">
      <c r="C213" s="13"/>
      <c r="K213" s="2"/>
      <c r="L213" s="2"/>
    </row>
    <row r="214" spans="3:12" ht="15.75" customHeight="1">
      <c r="C214" s="13"/>
      <c r="K214" s="2"/>
      <c r="L214" s="2"/>
    </row>
    <row r="215" spans="3:12" ht="15.75" customHeight="1">
      <c r="C215" s="13"/>
      <c r="K215" s="2"/>
      <c r="L215" s="2"/>
    </row>
    <row r="216" spans="3:12" ht="15.75" customHeight="1">
      <c r="C216" s="13"/>
      <c r="K216" s="2"/>
      <c r="L216" s="2"/>
    </row>
    <row r="217" spans="3:12" ht="15.75" customHeight="1">
      <c r="C217" s="13"/>
      <c r="K217" s="2"/>
      <c r="L217" s="2"/>
    </row>
    <row r="218" spans="3:12" ht="15.75" customHeight="1">
      <c r="C218" s="13"/>
      <c r="K218" s="2"/>
      <c r="L218" s="2"/>
    </row>
    <row r="219" spans="3:12" ht="15.75" customHeight="1">
      <c r="C219" s="13"/>
      <c r="K219" s="2"/>
      <c r="L219" s="2"/>
    </row>
    <row r="220" spans="3:12" ht="15.75" customHeight="1">
      <c r="C220" s="13"/>
      <c r="K220" s="2"/>
      <c r="L220" s="2"/>
    </row>
    <row r="221" spans="3:12" ht="15.75" customHeight="1">
      <c r="C221" s="13"/>
      <c r="K221" s="2"/>
      <c r="L221" s="2"/>
    </row>
    <row r="222" spans="3:12" ht="15.75" customHeight="1">
      <c r="C222" s="13"/>
      <c r="K222" s="2"/>
      <c r="L222" s="2"/>
    </row>
    <row r="223" spans="3:12" ht="15.75" customHeight="1">
      <c r="C223" s="13"/>
      <c r="K223" s="2"/>
      <c r="L223" s="2"/>
    </row>
    <row r="224" spans="3:12" ht="15.75" customHeight="1">
      <c r="C224" s="13"/>
      <c r="K224" s="2"/>
      <c r="L224" s="2"/>
    </row>
    <row r="225" spans="3:12" ht="15.75" customHeight="1">
      <c r="C225" s="13"/>
      <c r="K225" s="2"/>
      <c r="L225" s="2"/>
    </row>
    <row r="226" spans="3:12" ht="15.75" customHeight="1">
      <c r="C226" s="13"/>
      <c r="K226" s="2"/>
      <c r="L226" s="2"/>
    </row>
    <row r="227" spans="3:12" ht="15.75" customHeight="1">
      <c r="C227" s="13"/>
      <c r="K227" s="2"/>
      <c r="L227" s="2"/>
    </row>
    <row r="228" spans="3:12" ht="15.75" customHeight="1">
      <c r="C228" s="13"/>
      <c r="K228" s="2"/>
      <c r="L228" s="2"/>
    </row>
    <row r="229" spans="3:12" ht="15.75" customHeight="1">
      <c r="C229" s="13"/>
      <c r="K229" s="2"/>
      <c r="L229" s="2"/>
    </row>
    <row r="230" spans="3:12" ht="15.75" customHeight="1">
      <c r="C230" s="13"/>
      <c r="K230" s="2"/>
      <c r="L230" s="2"/>
    </row>
    <row r="231" spans="3:12" ht="15.75" customHeight="1">
      <c r="C231" s="13"/>
      <c r="K231" s="2"/>
      <c r="L231" s="2"/>
    </row>
    <row r="232" spans="3:12" ht="15.75" customHeight="1">
      <c r="C232" s="13"/>
      <c r="K232" s="2"/>
      <c r="L232" s="2"/>
    </row>
    <row r="233" spans="3:12" ht="15.75" customHeight="1">
      <c r="C233" s="13"/>
      <c r="K233" s="2"/>
      <c r="L233" s="2"/>
    </row>
    <row r="234" spans="3:12" ht="15.75" customHeight="1">
      <c r="C234" s="13"/>
      <c r="K234" s="2"/>
      <c r="L234" s="2"/>
    </row>
    <row r="235" spans="3:12" ht="15.75" customHeight="1">
      <c r="C235" s="13"/>
      <c r="K235" s="2"/>
      <c r="L235" s="2"/>
    </row>
    <row r="236" spans="3:12" ht="15.75" customHeight="1">
      <c r="C236" s="13"/>
      <c r="K236" s="2"/>
      <c r="L236" s="2"/>
    </row>
    <row r="237" spans="3:12" ht="15.75" customHeight="1">
      <c r="C237" s="13"/>
      <c r="K237" s="2"/>
      <c r="L237" s="2"/>
    </row>
    <row r="238" spans="3:12" ht="15.75" customHeight="1">
      <c r="C238" s="13"/>
      <c r="K238" s="2"/>
      <c r="L238" s="2"/>
    </row>
    <row r="239" spans="3:12" ht="15.75" customHeight="1">
      <c r="C239" s="13"/>
      <c r="K239" s="2"/>
      <c r="L239" s="2"/>
    </row>
    <row r="240" spans="3:12" ht="15.75" customHeight="1">
      <c r="C240" s="13"/>
      <c r="K240" s="2"/>
      <c r="L240" s="2"/>
    </row>
    <row r="241" spans="3:12" ht="15.75" customHeight="1">
      <c r="C241" s="13"/>
      <c r="K241" s="2"/>
      <c r="L241" s="2"/>
    </row>
    <row r="242" spans="3:12" ht="15.75" customHeight="1">
      <c r="C242" s="13"/>
      <c r="K242" s="2"/>
      <c r="L242" s="2"/>
    </row>
    <row r="243" spans="3:12" ht="15.75" customHeight="1">
      <c r="C243" s="13"/>
      <c r="K243" s="2"/>
      <c r="L243" s="2"/>
    </row>
    <row r="244" spans="3:12" ht="15.75" customHeight="1">
      <c r="C244" s="13"/>
      <c r="K244" s="2"/>
      <c r="L244" s="2"/>
    </row>
    <row r="245" spans="3:12" ht="15.75" customHeight="1">
      <c r="C245" s="13"/>
      <c r="K245" s="2"/>
      <c r="L245" s="2"/>
    </row>
    <row r="246" spans="3:12" ht="15.75" customHeight="1">
      <c r="C246" s="13"/>
      <c r="K246" s="2"/>
      <c r="L246" s="2"/>
    </row>
    <row r="247" spans="3:12" ht="15.75" customHeight="1">
      <c r="C247" s="13"/>
      <c r="K247" s="2"/>
      <c r="L247" s="2"/>
    </row>
    <row r="248" spans="3:12" ht="15.75" customHeight="1">
      <c r="C248" s="13"/>
      <c r="K248" s="2"/>
      <c r="L248" s="2"/>
    </row>
    <row r="249" spans="3:12" ht="15.75" customHeight="1">
      <c r="C249" s="13"/>
      <c r="K249" s="2"/>
      <c r="L249" s="2"/>
    </row>
    <row r="250" spans="3:12" ht="15.75" customHeight="1">
      <c r="C250" s="13"/>
      <c r="K250" s="2"/>
      <c r="L250" s="2"/>
    </row>
    <row r="251" spans="3:12" ht="15.75" customHeight="1">
      <c r="C251" s="13"/>
      <c r="K251" s="2"/>
      <c r="L251" s="2"/>
    </row>
    <row r="252" spans="3:12" ht="15.75" customHeight="1">
      <c r="C252" s="13"/>
      <c r="K252" s="2"/>
      <c r="L252" s="2"/>
    </row>
    <row r="253" spans="3:12" ht="15.75" customHeight="1">
      <c r="C253" s="13"/>
      <c r="K253" s="2"/>
      <c r="L253" s="2"/>
    </row>
    <row r="254" spans="3:12" ht="15.75" customHeight="1">
      <c r="C254" s="13"/>
      <c r="K254" s="2"/>
      <c r="L254" s="2"/>
    </row>
    <row r="255" spans="3:12" ht="15.75" customHeight="1">
      <c r="C255" s="13"/>
      <c r="K255" s="2"/>
      <c r="L255" s="2"/>
    </row>
    <row r="256" spans="3:12" ht="15.75" customHeight="1">
      <c r="C256" s="13"/>
      <c r="K256" s="2"/>
      <c r="L256" s="2"/>
    </row>
    <row r="257" spans="3:12" ht="15.75" customHeight="1">
      <c r="C257" s="13"/>
      <c r="K257" s="2"/>
      <c r="L257" s="2"/>
    </row>
    <row r="258" spans="3:12" ht="15.75" customHeight="1">
      <c r="C258" s="13"/>
      <c r="K258" s="2"/>
      <c r="L258" s="2"/>
    </row>
    <row r="259" spans="3:12" ht="15.75" customHeight="1">
      <c r="C259" s="13"/>
      <c r="K259" s="2"/>
      <c r="L259" s="2"/>
    </row>
    <row r="260" spans="3:12" ht="15.75" customHeight="1">
      <c r="C260" s="13"/>
      <c r="K260" s="2"/>
      <c r="L260" s="2"/>
    </row>
    <row r="261" spans="3:12" ht="15.75" customHeight="1">
      <c r="C261" s="13"/>
      <c r="K261" s="2"/>
      <c r="L261" s="2"/>
    </row>
    <row r="262" spans="3:12" ht="15.75" customHeight="1">
      <c r="C262" s="13"/>
      <c r="K262" s="2"/>
      <c r="L262" s="2"/>
    </row>
    <row r="263" spans="3:12" ht="15.75" customHeight="1">
      <c r="C263" s="13"/>
      <c r="K263" s="2"/>
      <c r="L263" s="2"/>
    </row>
    <row r="264" spans="3:12" ht="15.75" customHeight="1">
      <c r="C264" s="13"/>
      <c r="K264" s="2"/>
      <c r="L264" s="2"/>
    </row>
    <row r="265" spans="3:12" ht="15.75" customHeight="1">
      <c r="C265" s="13"/>
      <c r="K265" s="2"/>
      <c r="L265" s="2"/>
    </row>
    <row r="266" spans="3:12" ht="15.75" customHeight="1">
      <c r="C266" s="13"/>
      <c r="K266" s="2"/>
      <c r="L266" s="2"/>
    </row>
    <row r="267" spans="3:12" ht="15.75" customHeight="1">
      <c r="C267" s="13"/>
      <c r="K267" s="2"/>
      <c r="L267" s="2"/>
    </row>
    <row r="268" spans="3:12" ht="15.75" customHeight="1">
      <c r="C268" s="13"/>
      <c r="K268" s="2"/>
      <c r="L268" s="2"/>
    </row>
    <row r="269" spans="3:12" ht="15.75" customHeight="1">
      <c r="C269" s="13"/>
      <c r="K269" s="2"/>
      <c r="L269" s="2"/>
    </row>
    <row r="270" spans="3:12" ht="15.75" customHeight="1">
      <c r="C270" s="13"/>
      <c r="K270" s="2"/>
      <c r="L270" s="2"/>
    </row>
    <row r="271" spans="3:12" ht="15.75" customHeight="1">
      <c r="C271" s="13"/>
      <c r="K271" s="2"/>
      <c r="L271" s="2"/>
    </row>
    <row r="272" spans="3:12" ht="15.75" customHeight="1">
      <c r="C272" s="13"/>
      <c r="K272" s="2"/>
      <c r="L272" s="2"/>
    </row>
    <row r="273" spans="3:12" ht="15.75" customHeight="1">
      <c r="C273" s="13"/>
      <c r="K273" s="2"/>
      <c r="L273" s="2"/>
    </row>
    <row r="274" spans="3:12" ht="15.75" customHeight="1">
      <c r="C274" s="13"/>
      <c r="K274" s="2"/>
      <c r="L274" s="2"/>
    </row>
    <row r="275" spans="3:12" ht="15.75" customHeight="1">
      <c r="C275" s="13"/>
      <c r="K275" s="2"/>
      <c r="L275" s="2"/>
    </row>
    <row r="276" spans="3:12" ht="15.75" customHeight="1">
      <c r="C276" s="13"/>
      <c r="K276" s="2"/>
      <c r="L276" s="2"/>
    </row>
    <row r="277" spans="3:12" ht="15.75" customHeight="1">
      <c r="C277" s="13"/>
      <c r="K277" s="2"/>
      <c r="L277" s="2"/>
    </row>
    <row r="278" spans="3:12" ht="15.75" customHeight="1">
      <c r="C278" s="13"/>
      <c r="K278" s="2"/>
      <c r="L278" s="2"/>
    </row>
    <row r="279" spans="3:12" ht="15.75" customHeight="1">
      <c r="C279" s="13"/>
      <c r="K279" s="2"/>
      <c r="L279" s="2"/>
    </row>
    <row r="280" spans="3:12" ht="15.75" customHeight="1">
      <c r="C280" s="13"/>
      <c r="K280" s="2"/>
      <c r="L280" s="2"/>
    </row>
    <row r="281" spans="3:12" ht="15.75" customHeight="1">
      <c r="C281" s="13"/>
      <c r="K281" s="2"/>
      <c r="L281" s="2"/>
    </row>
    <row r="282" spans="3:12" ht="15.75" customHeight="1">
      <c r="C282" s="13"/>
      <c r="K282" s="2"/>
      <c r="L282" s="2"/>
    </row>
    <row r="283" spans="3:12" ht="15.75" customHeight="1">
      <c r="C283" s="13"/>
      <c r="K283" s="2"/>
      <c r="L283" s="2"/>
    </row>
    <row r="284" spans="3:12" ht="15.75" customHeight="1">
      <c r="C284" s="13"/>
      <c r="K284" s="2"/>
      <c r="L284" s="2"/>
    </row>
    <row r="285" spans="3:12" ht="15.75" customHeight="1">
      <c r="C285" s="13"/>
      <c r="K285" s="2"/>
      <c r="L285" s="2"/>
    </row>
    <row r="286" spans="3:12" ht="15.75" customHeight="1">
      <c r="C286" s="13"/>
      <c r="K286" s="2"/>
      <c r="L286" s="2"/>
    </row>
    <row r="287" spans="3:12" ht="15.75" customHeight="1">
      <c r="C287" s="13"/>
      <c r="K287" s="2"/>
      <c r="L287" s="2"/>
    </row>
    <row r="288" spans="3:12" ht="15.75" customHeight="1">
      <c r="C288" s="13"/>
      <c r="K288" s="2"/>
      <c r="L288" s="2"/>
    </row>
    <row r="289" spans="3:12" ht="15.75" customHeight="1">
      <c r="C289" s="13"/>
      <c r="K289" s="2"/>
      <c r="L289" s="2"/>
    </row>
    <row r="290" spans="3:12" ht="15.75" customHeight="1">
      <c r="C290" s="13"/>
      <c r="K290" s="2"/>
      <c r="L290" s="2"/>
    </row>
    <row r="291" spans="3:12" ht="15.75" customHeight="1">
      <c r="C291" s="13"/>
      <c r="K291" s="2"/>
      <c r="L291" s="2"/>
    </row>
    <row r="292" spans="3:12" ht="15.75" customHeight="1">
      <c r="C292" s="13"/>
      <c r="K292" s="2"/>
      <c r="L292" s="2"/>
    </row>
    <row r="293" spans="3:12" ht="15.75" customHeight="1">
      <c r="C293" s="13"/>
      <c r="K293" s="2"/>
      <c r="L293" s="2"/>
    </row>
    <row r="294" spans="3:12" ht="15.75" customHeight="1">
      <c r="C294" s="13"/>
      <c r="K294" s="2"/>
      <c r="L294" s="2"/>
    </row>
    <row r="295" spans="3:12" ht="15.75" customHeight="1">
      <c r="C295" s="13"/>
      <c r="K295" s="2"/>
      <c r="L295" s="2"/>
    </row>
    <row r="296" spans="3:12" ht="15.75" customHeight="1">
      <c r="C296" s="13"/>
      <c r="K296" s="2"/>
      <c r="L296" s="2"/>
    </row>
    <row r="297" spans="3:12" ht="15.75" customHeight="1">
      <c r="C297" s="13"/>
      <c r="K297" s="2"/>
      <c r="L297" s="2"/>
    </row>
    <row r="298" spans="3:12" ht="15.75" customHeight="1">
      <c r="C298" s="13"/>
      <c r="K298" s="2"/>
      <c r="L298" s="2"/>
    </row>
    <row r="299" spans="3:12" ht="15.75" customHeight="1">
      <c r="C299" s="13"/>
      <c r="K299" s="2"/>
      <c r="L299" s="2"/>
    </row>
    <row r="300" spans="3:12" ht="15.75" customHeight="1">
      <c r="C300" s="13"/>
      <c r="K300" s="2"/>
      <c r="L300" s="2"/>
    </row>
    <row r="301" spans="3:12" ht="15.75" customHeight="1">
      <c r="C301" s="13"/>
      <c r="K301" s="2"/>
      <c r="L301" s="2"/>
    </row>
    <row r="302" spans="3:12" ht="15.75" customHeight="1">
      <c r="C302" s="13"/>
      <c r="K302" s="2"/>
      <c r="L302" s="2"/>
    </row>
    <row r="303" spans="3:12" ht="15.75" customHeight="1">
      <c r="C303" s="13"/>
      <c r="K303" s="2"/>
      <c r="L303" s="2"/>
    </row>
    <row r="304" spans="3:12" ht="15.75" customHeight="1">
      <c r="C304" s="13"/>
      <c r="K304" s="2"/>
      <c r="L304" s="2"/>
    </row>
    <row r="305" spans="3:12" ht="15.75" customHeight="1">
      <c r="C305" s="13"/>
      <c r="K305" s="2"/>
      <c r="L305" s="2"/>
    </row>
    <row r="306" spans="3:12" ht="15.75" customHeight="1">
      <c r="C306" s="13"/>
      <c r="K306" s="2"/>
      <c r="L306" s="2"/>
    </row>
    <row r="307" spans="3:12" ht="15.75" customHeight="1">
      <c r="C307" s="13"/>
      <c r="K307" s="2"/>
      <c r="L307" s="2"/>
    </row>
    <row r="308" spans="3:12" ht="15.75" customHeight="1">
      <c r="C308" s="13"/>
      <c r="K308" s="2"/>
      <c r="L308" s="2"/>
    </row>
    <row r="309" spans="3:12" ht="15.75" customHeight="1">
      <c r="C309" s="13"/>
      <c r="K309" s="2"/>
      <c r="L309" s="2"/>
    </row>
    <row r="310" spans="3:12" ht="15.75" customHeight="1">
      <c r="C310" s="13"/>
      <c r="K310" s="2"/>
      <c r="L310" s="2"/>
    </row>
    <row r="311" spans="3:12" ht="15.75" customHeight="1">
      <c r="C311" s="13"/>
      <c r="K311" s="2"/>
      <c r="L311" s="2"/>
    </row>
    <row r="312" spans="3:12" ht="15.75" customHeight="1">
      <c r="C312" s="13"/>
      <c r="K312" s="2"/>
      <c r="L312" s="2"/>
    </row>
    <row r="313" spans="3:12" ht="15.75" customHeight="1">
      <c r="C313" s="13"/>
      <c r="K313" s="2"/>
      <c r="L313" s="2"/>
    </row>
    <row r="314" spans="3:12" ht="15.75" customHeight="1">
      <c r="C314" s="13"/>
      <c r="K314" s="2"/>
      <c r="L314" s="2"/>
    </row>
    <row r="315" spans="3:12" ht="15.75" customHeight="1">
      <c r="C315" s="13"/>
      <c r="K315" s="2"/>
      <c r="L315" s="2"/>
    </row>
    <row r="316" spans="3:12" ht="15.75" customHeight="1">
      <c r="C316" s="13"/>
      <c r="K316" s="2"/>
      <c r="L316" s="2"/>
    </row>
    <row r="317" spans="3:12" ht="15.75" customHeight="1">
      <c r="C317" s="13"/>
      <c r="K317" s="2"/>
      <c r="L317" s="2"/>
    </row>
    <row r="318" spans="3:12" ht="15.75" customHeight="1">
      <c r="C318" s="13"/>
      <c r="K318" s="2"/>
      <c r="L318" s="2"/>
    </row>
    <row r="319" spans="3:12" ht="15.75" customHeight="1">
      <c r="C319" s="13"/>
      <c r="K319" s="2"/>
      <c r="L319" s="2"/>
    </row>
    <row r="320" spans="3:12" ht="15.75" customHeight="1">
      <c r="C320" s="13"/>
      <c r="K320" s="2"/>
      <c r="L320" s="2"/>
    </row>
    <row r="321" spans="3:12" ht="15.75" customHeight="1">
      <c r="C321" s="13"/>
      <c r="K321" s="2"/>
      <c r="L321" s="2"/>
    </row>
    <row r="322" spans="3:12" ht="15.75" customHeight="1">
      <c r="C322" s="13"/>
      <c r="K322" s="2"/>
      <c r="L322" s="2"/>
    </row>
    <row r="323" spans="3:12" ht="15.75" customHeight="1">
      <c r="C323" s="13"/>
      <c r="K323" s="2"/>
      <c r="L323" s="2"/>
    </row>
    <row r="324" spans="3:12" ht="15.75" customHeight="1">
      <c r="C324" s="13"/>
      <c r="K324" s="2"/>
      <c r="L324" s="2"/>
    </row>
    <row r="325" spans="3:12" ht="15.75" customHeight="1">
      <c r="C325" s="13"/>
      <c r="K325" s="2"/>
      <c r="L325" s="2"/>
    </row>
    <row r="326" spans="3:12" ht="15.75" customHeight="1">
      <c r="C326" s="13"/>
      <c r="K326" s="2"/>
      <c r="L326" s="2"/>
    </row>
    <row r="327" spans="3:12" ht="15.75" customHeight="1">
      <c r="C327" s="13"/>
      <c r="K327" s="2"/>
      <c r="L327" s="2"/>
    </row>
    <row r="328" spans="3:12" ht="15.75" customHeight="1">
      <c r="C328" s="13"/>
      <c r="K328" s="2"/>
      <c r="L328" s="2"/>
    </row>
    <row r="329" spans="3:12" ht="15.75" customHeight="1">
      <c r="C329" s="13"/>
      <c r="K329" s="2"/>
      <c r="L329" s="2"/>
    </row>
    <row r="330" spans="3:12" ht="15.75" customHeight="1">
      <c r="C330" s="13"/>
      <c r="K330" s="2"/>
      <c r="L330" s="2"/>
    </row>
    <row r="331" spans="3:12" ht="15.75" customHeight="1">
      <c r="C331" s="13"/>
      <c r="K331" s="2"/>
      <c r="L331" s="2"/>
    </row>
    <row r="332" spans="3:12" ht="15.75" customHeight="1">
      <c r="C332" s="13"/>
      <c r="K332" s="2"/>
      <c r="L332" s="2"/>
    </row>
    <row r="333" spans="3:12" ht="15.75" customHeight="1">
      <c r="C333" s="13"/>
      <c r="K333" s="2"/>
      <c r="L333" s="2"/>
    </row>
    <row r="334" spans="3:12" ht="15.75" customHeight="1">
      <c r="C334" s="13"/>
      <c r="K334" s="2"/>
      <c r="L334" s="2"/>
    </row>
    <row r="335" spans="3:12" ht="15.75" customHeight="1">
      <c r="C335" s="13"/>
      <c r="K335" s="2"/>
      <c r="L335" s="2"/>
    </row>
    <row r="336" spans="3:12" ht="15.75" customHeight="1">
      <c r="C336" s="13"/>
      <c r="K336" s="2"/>
      <c r="L336" s="2"/>
    </row>
    <row r="337" spans="3:12" ht="15.75" customHeight="1">
      <c r="C337" s="13"/>
      <c r="K337" s="2"/>
      <c r="L337" s="2"/>
    </row>
    <row r="338" spans="3:12" ht="15.75" customHeight="1">
      <c r="C338" s="13"/>
      <c r="K338" s="2"/>
      <c r="L338" s="2"/>
    </row>
    <row r="339" spans="3:12" ht="15.75" customHeight="1">
      <c r="C339" s="13"/>
      <c r="K339" s="2"/>
      <c r="L339" s="2"/>
    </row>
    <row r="340" spans="3:12" ht="15.75" customHeight="1">
      <c r="C340" s="13"/>
      <c r="K340" s="2"/>
      <c r="L340" s="2"/>
    </row>
    <row r="341" spans="3:12" ht="15.75" customHeight="1">
      <c r="C341" s="13"/>
      <c r="K341" s="2"/>
      <c r="L341" s="2"/>
    </row>
    <row r="342" spans="3:12" ht="15.75" customHeight="1">
      <c r="C342" s="13"/>
      <c r="K342" s="2"/>
      <c r="L342" s="2"/>
    </row>
    <row r="343" spans="3:12" ht="15.75" customHeight="1">
      <c r="C343" s="13"/>
      <c r="K343" s="2"/>
      <c r="L343" s="2"/>
    </row>
    <row r="344" spans="3:12" ht="15.75" customHeight="1">
      <c r="C344" s="13"/>
      <c r="K344" s="2"/>
      <c r="L344" s="2"/>
    </row>
    <row r="345" spans="3:12" ht="15.75" customHeight="1">
      <c r="C345" s="13"/>
      <c r="K345" s="2"/>
      <c r="L345" s="2"/>
    </row>
    <row r="346" spans="3:12" ht="15.75" customHeight="1">
      <c r="C346" s="13"/>
      <c r="K346" s="2"/>
      <c r="L346" s="2"/>
    </row>
    <row r="347" spans="3:12" ht="15.75" customHeight="1">
      <c r="C347" s="13"/>
      <c r="K347" s="2"/>
      <c r="L347" s="2"/>
    </row>
    <row r="348" spans="3:12" ht="15.75" customHeight="1">
      <c r="C348" s="13"/>
      <c r="K348" s="2"/>
      <c r="L348" s="2"/>
    </row>
    <row r="349" spans="3:12" ht="15.75" customHeight="1">
      <c r="C349" s="13"/>
      <c r="K349" s="2"/>
      <c r="L349" s="2"/>
    </row>
    <row r="350" spans="3:12" ht="15.75" customHeight="1">
      <c r="C350" s="13"/>
      <c r="K350" s="2"/>
      <c r="L350" s="2"/>
    </row>
    <row r="351" spans="3:12" ht="15.75" customHeight="1">
      <c r="C351" s="13"/>
      <c r="K351" s="2"/>
      <c r="L351" s="2"/>
    </row>
    <row r="352" spans="3:12" ht="15.75" customHeight="1">
      <c r="C352" s="13"/>
      <c r="K352" s="2"/>
      <c r="L352" s="2"/>
    </row>
    <row r="353" spans="3:12" ht="15.75" customHeight="1">
      <c r="C353" s="13"/>
      <c r="K353" s="2"/>
      <c r="L353" s="2"/>
    </row>
    <row r="354" spans="3:12" ht="15.75" customHeight="1">
      <c r="C354" s="13"/>
      <c r="K354" s="2"/>
      <c r="L354" s="2"/>
    </row>
    <row r="355" spans="3:12" ht="15.75" customHeight="1">
      <c r="C355" s="13"/>
      <c r="K355" s="2"/>
      <c r="L355" s="2"/>
    </row>
    <row r="356" spans="3:12" ht="15.75" customHeight="1">
      <c r="C356" s="13"/>
      <c r="K356" s="2"/>
      <c r="L356" s="2"/>
    </row>
    <row r="357" spans="3:12" ht="15.75" customHeight="1">
      <c r="C357" s="13"/>
      <c r="K357" s="2"/>
      <c r="L357" s="2"/>
    </row>
    <row r="358" spans="3:12" ht="15.75" customHeight="1">
      <c r="C358" s="13"/>
      <c r="K358" s="2"/>
      <c r="L358" s="2"/>
    </row>
    <row r="359" spans="3:12" ht="15.75" customHeight="1">
      <c r="C359" s="13"/>
      <c r="K359" s="2"/>
      <c r="L359" s="2"/>
    </row>
    <row r="360" spans="3:12" ht="15.75" customHeight="1">
      <c r="C360" s="13"/>
      <c r="K360" s="2"/>
      <c r="L360" s="2"/>
    </row>
    <row r="361" spans="3:12" ht="15.75" customHeight="1">
      <c r="C361" s="13"/>
      <c r="K361" s="2"/>
      <c r="L361" s="2"/>
    </row>
    <row r="362" spans="3:12" ht="15.75" customHeight="1">
      <c r="C362" s="13"/>
      <c r="K362" s="2"/>
      <c r="L362" s="2"/>
    </row>
    <row r="363" spans="3:12" ht="15.75" customHeight="1">
      <c r="C363" s="13"/>
      <c r="K363" s="2"/>
      <c r="L363" s="2"/>
    </row>
    <row r="364" spans="3:12" ht="15.75" customHeight="1">
      <c r="C364" s="13"/>
      <c r="K364" s="2"/>
      <c r="L364" s="2"/>
    </row>
    <row r="365" spans="3:12" ht="15.75" customHeight="1">
      <c r="C365" s="13"/>
      <c r="K365" s="2"/>
      <c r="L365" s="2"/>
    </row>
    <row r="366" spans="3:12" ht="15.75" customHeight="1">
      <c r="C366" s="13"/>
      <c r="K366" s="2"/>
      <c r="L366" s="2"/>
    </row>
    <row r="367" spans="3:12" ht="15.75" customHeight="1">
      <c r="C367" s="13"/>
      <c r="K367" s="2"/>
      <c r="L367" s="2"/>
    </row>
    <row r="368" spans="3:12" ht="15.75" customHeight="1">
      <c r="C368" s="13"/>
      <c r="K368" s="2"/>
      <c r="L368" s="2"/>
    </row>
    <row r="369" spans="3:12" ht="15.75" customHeight="1">
      <c r="C369" s="13"/>
      <c r="K369" s="2"/>
      <c r="L369" s="2"/>
    </row>
    <row r="370" spans="3:12" ht="15.75" customHeight="1">
      <c r="C370" s="13"/>
      <c r="K370" s="2"/>
      <c r="L370" s="2"/>
    </row>
    <row r="371" spans="3:12" ht="15.75" customHeight="1">
      <c r="C371" s="13"/>
      <c r="K371" s="2"/>
      <c r="L371" s="2"/>
    </row>
    <row r="372" spans="3:12" ht="15.75" customHeight="1">
      <c r="C372" s="13"/>
      <c r="K372" s="2"/>
      <c r="L372" s="2"/>
    </row>
    <row r="373" spans="3:12" ht="15.75" customHeight="1">
      <c r="C373" s="13"/>
      <c r="K373" s="2"/>
      <c r="L373" s="2"/>
    </row>
    <row r="374" spans="3:12" ht="15.75" customHeight="1">
      <c r="C374" s="13"/>
      <c r="K374" s="2"/>
      <c r="L374" s="2"/>
    </row>
    <row r="375" spans="3:12" ht="15.75" customHeight="1">
      <c r="C375" s="13"/>
      <c r="K375" s="2"/>
      <c r="L375" s="2"/>
    </row>
    <row r="376" spans="3:12" ht="15.75" customHeight="1">
      <c r="C376" s="13"/>
      <c r="K376" s="2"/>
      <c r="L376" s="2"/>
    </row>
    <row r="377" spans="3:12" ht="15.75" customHeight="1">
      <c r="C377" s="13"/>
      <c r="K377" s="2"/>
      <c r="L377" s="2"/>
    </row>
    <row r="378" spans="3:12" ht="15.75" customHeight="1">
      <c r="C378" s="13"/>
      <c r="K378" s="2"/>
      <c r="L378" s="2"/>
    </row>
    <row r="379" spans="3:12" ht="15.75" customHeight="1">
      <c r="C379" s="13"/>
      <c r="K379" s="2"/>
      <c r="L379" s="2"/>
    </row>
    <row r="380" spans="3:12" ht="15.75" customHeight="1">
      <c r="C380" s="13"/>
      <c r="K380" s="2"/>
      <c r="L380" s="2"/>
    </row>
    <row r="381" spans="3:12" ht="15.75" customHeight="1">
      <c r="C381" s="13"/>
      <c r="K381" s="2"/>
      <c r="L381" s="2"/>
    </row>
    <row r="382" spans="3:12" ht="15.75" customHeight="1">
      <c r="C382" s="13"/>
      <c r="K382" s="2"/>
      <c r="L382" s="2"/>
    </row>
    <row r="383" spans="3:12" ht="15.75" customHeight="1">
      <c r="C383" s="13"/>
      <c r="K383" s="2"/>
      <c r="L383" s="2"/>
    </row>
    <row r="384" spans="3:12" ht="15.75" customHeight="1">
      <c r="C384" s="13"/>
      <c r="K384" s="2"/>
      <c r="L384" s="2"/>
    </row>
    <row r="385" spans="3:12" ht="15.75" customHeight="1">
      <c r="C385" s="13"/>
      <c r="K385" s="2"/>
      <c r="L385" s="2"/>
    </row>
    <row r="386" spans="3:12" ht="15.75" customHeight="1">
      <c r="C386" s="13"/>
      <c r="K386" s="2"/>
      <c r="L386" s="2"/>
    </row>
    <row r="387" spans="3:12" ht="15.75" customHeight="1">
      <c r="C387" s="13"/>
      <c r="K387" s="2"/>
      <c r="L387" s="2"/>
    </row>
    <row r="388" spans="3:12" ht="15.75" customHeight="1">
      <c r="C388" s="13"/>
      <c r="K388" s="2"/>
      <c r="L388" s="2"/>
    </row>
    <row r="389" spans="3:12" ht="15.75" customHeight="1">
      <c r="C389" s="13"/>
      <c r="K389" s="2"/>
      <c r="L389" s="2"/>
    </row>
    <row r="390" spans="3:12" ht="15.75" customHeight="1">
      <c r="C390" s="13"/>
      <c r="K390" s="2"/>
      <c r="L390" s="2"/>
    </row>
    <row r="391" spans="3:12" ht="15.75" customHeight="1">
      <c r="C391" s="13"/>
      <c r="K391" s="2"/>
      <c r="L391" s="2"/>
    </row>
    <row r="392" spans="3:12" ht="15.75" customHeight="1">
      <c r="C392" s="13"/>
      <c r="K392" s="2"/>
      <c r="L392" s="2"/>
    </row>
    <row r="393" spans="3:12" ht="15.75" customHeight="1">
      <c r="C393" s="13"/>
      <c r="K393" s="2"/>
      <c r="L393" s="2"/>
    </row>
    <row r="394" spans="3:12" ht="15.75" customHeight="1">
      <c r="C394" s="13"/>
      <c r="K394" s="2"/>
      <c r="L394" s="2"/>
    </row>
    <row r="395" spans="3:12" ht="15.75" customHeight="1">
      <c r="C395" s="13"/>
      <c r="K395" s="2"/>
      <c r="L395" s="2"/>
    </row>
    <row r="396" spans="3:12" ht="15.75" customHeight="1">
      <c r="C396" s="13"/>
      <c r="K396" s="2"/>
      <c r="L396" s="2"/>
    </row>
    <row r="397" spans="3:12" ht="15.75" customHeight="1">
      <c r="C397" s="13"/>
      <c r="K397" s="2"/>
      <c r="L397" s="2"/>
    </row>
    <row r="398" spans="3:12" ht="15.75" customHeight="1">
      <c r="C398" s="13"/>
      <c r="K398" s="2"/>
      <c r="L398" s="2"/>
    </row>
    <row r="399" spans="3:12" ht="15.75" customHeight="1">
      <c r="C399" s="13"/>
      <c r="K399" s="2"/>
      <c r="L399" s="2"/>
    </row>
    <row r="400" spans="3:12" ht="15.75" customHeight="1">
      <c r="C400" s="13"/>
      <c r="K400" s="2"/>
      <c r="L400" s="2"/>
    </row>
    <row r="401" spans="3:12" ht="15.75" customHeight="1">
      <c r="C401" s="13"/>
      <c r="K401" s="2"/>
      <c r="L401" s="2"/>
    </row>
    <row r="402" spans="3:12" ht="15.75" customHeight="1">
      <c r="C402" s="13"/>
      <c r="K402" s="2"/>
      <c r="L402" s="2"/>
    </row>
    <row r="403" spans="3:12" ht="15.75" customHeight="1">
      <c r="C403" s="13"/>
      <c r="K403" s="2"/>
      <c r="L403" s="2"/>
    </row>
    <row r="404" spans="3:12" ht="15.75" customHeight="1">
      <c r="C404" s="13"/>
      <c r="K404" s="2"/>
      <c r="L404" s="2"/>
    </row>
    <row r="405" spans="3:12" ht="15.75" customHeight="1">
      <c r="C405" s="13"/>
      <c r="K405" s="2"/>
      <c r="L405" s="2"/>
    </row>
    <row r="406" spans="3:12" ht="15.75" customHeight="1">
      <c r="C406" s="13"/>
      <c r="K406" s="2"/>
      <c r="L406" s="2"/>
    </row>
    <row r="407" spans="3:12" ht="15.75" customHeight="1">
      <c r="C407" s="13"/>
      <c r="K407" s="2"/>
      <c r="L407" s="2"/>
    </row>
    <row r="408" spans="3:12" ht="15.75" customHeight="1">
      <c r="C408" s="13"/>
      <c r="K408" s="2"/>
      <c r="L408" s="2"/>
    </row>
    <row r="409" spans="3:12" ht="15.75" customHeight="1">
      <c r="C409" s="13"/>
      <c r="K409" s="2"/>
      <c r="L409" s="2"/>
    </row>
    <row r="410" spans="3:12" ht="15.75" customHeight="1">
      <c r="C410" s="13"/>
      <c r="K410" s="2"/>
      <c r="L410" s="2"/>
    </row>
    <row r="411" spans="3:12" ht="15.75" customHeight="1">
      <c r="C411" s="13"/>
      <c r="K411" s="2"/>
      <c r="L411" s="2"/>
    </row>
    <row r="412" spans="3:12" ht="15.75" customHeight="1">
      <c r="C412" s="13"/>
      <c r="K412" s="2"/>
      <c r="L412" s="2"/>
    </row>
    <row r="413" spans="3:12" ht="15.75" customHeight="1">
      <c r="C413" s="13"/>
      <c r="K413" s="2"/>
      <c r="L413" s="2"/>
    </row>
    <row r="414" spans="3:12" ht="15.75" customHeight="1">
      <c r="C414" s="13"/>
      <c r="K414" s="2"/>
      <c r="L414" s="2"/>
    </row>
    <row r="415" spans="3:12" ht="15.75" customHeight="1">
      <c r="C415" s="13"/>
      <c r="K415" s="2"/>
      <c r="L415" s="2"/>
    </row>
    <row r="416" spans="3:12" ht="15.75" customHeight="1">
      <c r="C416" s="13"/>
      <c r="K416" s="2"/>
      <c r="L416" s="2"/>
    </row>
    <row r="417" spans="3:12" ht="15.75" customHeight="1">
      <c r="C417" s="13"/>
      <c r="K417" s="2"/>
      <c r="L417" s="2"/>
    </row>
    <row r="418" spans="3:12" ht="15.75" customHeight="1">
      <c r="C418" s="13"/>
      <c r="K418" s="2"/>
      <c r="L418" s="2"/>
    </row>
    <row r="419" spans="3:12" ht="15.75" customHeight="1">
      <c r="C419" s="13"/>
      <c r="K419" s="2"/>
      <c r="L419" s="2"/>
    </row>
    <row r="420" spans="3:12" ht="15.75" customHeight="1">
      <c r="C420" s="13"/>
      <c r="K420" s="2"/>
      <c r="L420" s="2"/>
    </row>
    <row r="421" spans="3:12" ht="15.75" customHeight="1">
      <c r="C421" s="13"/>
      <c r="K421" s="2"/>
      <c r="L421" s="2"/>
    </row>
    <row r="422" spans="3:12" ht="15.75" customHeight="1">
      <c r="C422" s="13"/>
      <c r="K422" s="2"/>
      <c r="L422" s="2"/>
    </row>
    <row r="423" spans="3:12" ht="15.75" customHeight="1">
      <c r="C423" s="13"/>
      <c r="K423" s="2"/>
      <c r="L423" s="2"/>
    </row>
    <row r="424" spans="3:12" ht="15.75" customHeight="1">
      <c r="C424" s="13"/>
      <c r="K424" s="2"/>
      <c r="L424" s="2"/>
    </row>
    <row r="425" spans="3:12" ht="15.75" customHeight="1">
      <c r="C425" s="13"/>
      <c r="K425" s="2"/>
      <c r="L425" s="2"/>
    </row>
    <row r="426" spans="3:12" ht="15.75" customHeight="1">
      <c r="C426" s="13"/>
      <c r="K426" s="2"/>
      <c r="L426" s="2"/>
    </row>
    <row r="427" spans="3:12" ht="15.75" customHeight="1">
      <c r="C427" s="13"/>
      <c r="K427" s="2"/>
      <c r="L427" s="2"/>
    </row>
    <row r="428" spans="3:12" ht="15.75" customHeight="1">
      <c r="C428" s="13"/>
      <c r="K428" s="2"/>
      <c r="L428" s="2"/>
    </row>
    <row r="429" spans="3:12" ht="15.75" customHeight="1">
      <c r="C429" s="13"/>
      <c r="K429" s="2"/>
      <c r="L429" s="2"/>
    </row>
    <row r="430" spans="3:12" ht="15.75" customHeight="1">
      <c r="C430" s="13"/>
      <c r="K430" s="2"/>
      <c r="L430" s="2"/>
    </row>
    <row r="431" spans="3:12" ht="15.75" customHeight="1">
      <c r="C431" s="13"/>
      <c r="K431" s="2"/>
      <c r="L431" s="2"/>
    </row>
    <row r="432" spans="3:12" ht="15.75" customHeight="1">
      <c r="C432" s="13"/>
      <c r="K432" s="2"/>
      <c r="L432" s="2"/>
    </row>
    <row r="433" spans="3:12" ht="15.75" customHeight="1">
      <c r="C433" s="13"/>
      <c r="K433" s="2"/>
      <c r="L433" s="2"/>
    </row>
    <row r="434" spans="3:12" ht="15.75" customHeight="1">
      <c r="C434" s="13"/>
      <c r="K434" s="2"/>
      <c r="L434" s="2"/>
    </row>
    <row r="435" spans="3:12" ht="15.75" customHeight="1">
      <c r="C435" s="13"/>
      <c r="K435" s="2"/>
      <c r="L435" s="2"/>
    </row>
    <row r="436" spans="3:12" ht="15.75" customHeight="1">
      <c r="C436" s="13"/>
      <c r="K436" s="2"/>
      <c r="L436" s="2"/>
    </row>
    <row r="437" spans="3:12" ht="15.75" customHeight="1">
      <c r="C437" s="13"/>
      <c r="K437" s="2"/>
      <c r="L437" s="2"/>
    </row>
    <row r="438" spans="3:12" ht="15.75" customHeight="1">
      <c r="C438" s="13"/>
      <c r="K438" s="2"/>
      <c r="L438" s="2"/>
    </row>
    <row r="439" spans="3:12" ht="15.75" customHeight="1">
      <c r="C439" s="13"/>
      <c r="K439" s="2"/>
      <c r="L439" s="2"/>
    </row>
    <row r="440" spans="3:12" ht="15.75" customHeight="1">
      <c r="C440" s="13"/>
      <c r="K440" s="2"/>
      <c r="L440" s="2"/>
    </row>
    <row r="441" spans="3:12" ht="15.75" customHeight="1">
      <c r="C441" s="13"/>
      <c r="K441" s="2"/>
      <c r="L441" s="2"/>
    </row>
    <row r="442" spans="3:12" ht="15.75" customHeight="1">
      <c r="C442" s="13"/>
      <c r="K442" s="2"/>
      <c r="L442" s="2"/>
    </row>
    <row r="443" spans="3:12" ht="15.75" customHeight="1">
      <c r="C443" s="13"/>
      <c r="K443" s="2"/>
      <c r="L443" s="2"/>
    </row>
    <row r="444" spans="3:12" ht="15.75" customHeight="1">
      <c r="C444" s="13"/>
      <c r="K444" s="2"/>
      <c r="L444" s="2"/>
    </row>
    <row r="445" spans="3:12" ht="15.75" customHeight="1">
      <c r="C445" s="13"/>
      <c r="K445" s="2"/>
      <c r="L445" s="2"/>
    </row>
    <row r="446" spans="3:12" ht="15.75" customHeight="1">
      <c r="C446" s="13"/>
      <c r="K446" s="2"/>
      <c r="L446" s="2"/>
    </row>
    <row r="447" spans="3:12" ht="15.75" customHeight="1">
      <c r="C447" s="13"/>
      <c r="K447" s="2"/>
      <c r="L447" s="2"/>
    </row>
    <row r="448" spans="3:12" ht="15.75" customHeight="1">
      <c r="C448" s="13"/>
      <c r="K448" s="2"/>
      <c r="L448" s="2"/>
    </row>
    <row r="449" spans="3:12" ht="15.75" customHeight="1">
      <c r="C449" s="13"/>
      <c r="K449" s="2"/>
      <c r="L449" s="2"/>
    </row>
    <row r="450" spans="3:12" ht="15.75" customHeight="1">
      <c r="C450" s="13"/>
      <c r="K450" s="2"/>
      <c r="L450" s="2"/>
    </row>
    <row r="451" spans="3:12" ht="15.75" customHeight="1">
      <c r="C451" s="13"/>
      <c r="K451" s="2"/>
      <c r="L451" s="2"/>
    </row>
    <row r="452" spans="3:12" ht="15.75" customHeight="1">
      <c r="C452" s="13"/>
      <c r="K452" s="2"/>
      <c r="L452" s="2"/>
    </row>
    <row r="453" spans="3:12" ht="15.75" customHeight="1">
      <c r="C453" s="13"/>
      <c r="K453" s="2"/>
      <c r="L453" s="2"/>
    </row>
    <row r="454" spans="3:12" ht="15.75" customHeight="1">
      <c r="C454" s="13"/>
      <c r="K454" s="2"/>
      <c r="L454" s="2"/>
    </row>
    <row r="455" spans="3:12" ht="15.75" customHeight="1">
      <c r="C455" s="13"/>
      <c r="K455" s="2"/>
      <c r="L455" s="2"/>
    </row>
    <row r="456" spans="3:12" ht="15.75" customHeight="1">
      <c r="C456" s="13"/>
      <c r="K456" s="2"/>
      <c r="L456" s="2"/>
    </row>
    <row r="457" spans="3:12" ht="15.75" customHeight="1">
      <c r="C457" s="13"/>
      <c r="K457" s="2"/>
      <c r="L457" s="2"/>
    </row>
    <row r="458" spans="3:12" ht="15.75" customHeight="1">
      <c r="C458" s="13"/>
      <c r="K458" s="2"/>
      <c r="L458" s="2"/>
    </row>
    <row r="459" spans="3:12" ht="15.75" customHeight="1">
      <c r="C459" s="13"/>
      <c r="K459" s="2"/>
      <c r="L459" s="2"/>
    </row>
    <row r="460" spans="3:12" ht="15.75" customHeight="1">
      <c r="C460" s="13"/>
      <c r="K460" s="2"/>
      <c r="L460" s="2"/>
    </row>
    <row r="461" spans="3:12" ht="15.75" customHeight="1">
      <c r="C461" s="13"/>
      <c r="K461" s="2"/>
      <c r="L461" s="2"/>
    </row>
    <row r="462" spans="3:12" ht="15.75" customHeight="1">
      <c r="C462" s="13"/>
      <c r="K462" s="2"/>
      <c r="L462" s="2"/>
    </row>
    <row r="463" spans="3:12" ht="15.75" customHeight="1">
      <c r="C463" s="13"/>
      <c r="K463" s="2"/>
      <c r="L463" s="2"/>
    </row>
    <row r="464" spans="3:12" ht="15.75" customHeight="1">
      <c r="C464" s="13"/>
      <c r="K464" s="2"/>
      <c r="L464" s="2"/>
    </row>
    <row r="465" spans="3:12" ht="15.75" customHeight="1">
      <c r="C465" s="13"/>
      <c r="K465" s="2"/>
      <c r="L465" s="2"/>
    </row>
    <row r="466" spans="3:12" ht="15.75" customHeight="1">
      <c r="C466" s="13"/>
      <c r="K466" s="2"/>
      <c r="L466" s="2"/>
    </row>
    <row r="467" spans="3:12" ht="15.75" customHeight="1">
      <c r="C467" s="13"/>
      <c r="K467" s="2"/>
      <c r="L467" s="2"/>
    </row>
    <row r="468" spans="3:12" ht="15.75" customHeight="1">
      <c r="C468" s="13"/>
      <c r="K468" s="2"/>
      <c r="L468" s="2"/>
    </row>
    <row r="469" spans="3:12" ht="15.75" customHeight="1">
      <c r="C469" s="13"/>
      <c r="K469" s="2"/>
      <c r="L469" s="2"/>
    </row>
    <row r="470" spans="3:12" ht="15.75" customHeight="1">
      <c r="C470" s="13"/>
      <c r="K470" s="2"/>
      <c r="L470" s="2"/>
    </row>
    <row r="471" spans="3:12" ht="15.75" customHeight="1">
      <c r="C471" s="13"/>
      <c r="K471" s="2"/>
      <c r="L471" s="2"/>
    </row>
    <row r="472" spans="3:12" ht="15.75" customHeight="1">
      <c r="C472" s="13"/>
      <c r="K472" s="2"/>
      <c r="L472" s="2"/>
    </row>
    <row r="473" spans="3:12" ht="15.75" customHeight="1">
      <c r="C473" s="13"/>
      <c r="K473" s="2"/>
      <c r="L473" s="2"/>
    </row>
    <row r="474" spans="3:12" ht="15.75" customHeight="1">
      <c r="C474" s="13"/>
      <c r="K474" s="2"/>
      <c r="L474" s="2"/>
    </row>
    <row r="475" spans="3:12" ht="15.75" customHeight="1">
      <c r="C475" s="13"/>
      <c r="K475" s="2"/>
      <c r="L475" s="2"/>
    </row>
    <row r="476" spans="3:12" ht="15.75" customHeight="1">
      <c r="C476" s="13"/>
      <c r="K476" s="2"/>
      <c r="L476" s="2"/>
    </row>
    <row r="477" spans="3:12" ht="15.75" customHeight="1">
      <c r="C477" s="13"/>
      <c r="K477" s="2"/>
      <c r="L477" s="2"/>
    </row>
    <row r="478" spans="3:12" ht="15.75" customHeight="1">
      <c r="C478" s="13"/>
      <c r="K478" s="2"/>
      <c r="L478" s="2"/>
    </row>
    <row r="479" spans="3:12" ht="15.75" customHeight="1">
      <c r="C479" s="13"/>
      <c r="K479" s="2"/>
      <c r="L479" s="2"/>
    </row>
    <row r="480" spans="3:12" ht="15.75" customHeight="1">
      <c r="C480" s="13"/>
      <c r="K480" s="2"/>
      <c r="L480" s="2"/>
    </row>
    <row r="481" spans="3:12" ht="15.75" customHeight="1">
      <c r="C481" s="13"/>
      <c r="K481" s="2"/>
      <c r="L481" s="2"/>
    </row>
    <row r="482" spans="3:12" ht="15.75" customHeight="1">
      <c r="C482" s="13"/>
      <c r="K482" s="2"/>
      <c r="L482" s="2"/>
    </row>
    <row r="483" spans="3:12" ht="15.75" customHeight="1">
      <c r="C483" s="13"/>
      <c r="K483" s="2"/>
      <c r="L483" s="2"/>
    </row>
    <row r="484" spans="3:12" ht="15.75" customHeight="1">
      <c r="C484" s="13"/>
      <c r="K484" s="2"/>
      <c r="L484" s="2"/>
    </row>
    <row r="485" spans="3:12" ht="15.75" customHeight="1">
      <c r="C485" s="13"/>
      <c r="K485" s="2"/>
      <c r="L485" s="2"/>
    </row>
    <row r="486" spans="3:12" ht="15.75" customHeight="1">
      <c r="C486" s="13"/>
      <c r="K486" s="2"/>
      <c r="L486" s="2"/>
    </row>
    <row r="487" spans="3:12" ht="15.75" customHeight="1">
      <c r="C487" s="13"/>
      <c r="K487" s="2"/>
      <c r="L487" s="2"/>
    </row>
    <row r="488" spans="3:12" ht="15.75" customHeight="1">
      <c r="C488" s="13"/>
      <c r="K488" s="2"/>
      <c r="L488" s="2"/>
    </row>
    <row r="489" spans="3:12" ht="15.75" customHeight="1">
      <c r="C489" s="13"/>
      <c r="K489" s="2"/>
      <c r="L489" s="2"/>
    </row>
    <row r="490" spans="3:12" ht="15.75" customHeight="1">
      <c r="C490" s="13"/>
      <c r="K490" s="2"/>
      <c r="L490" s="2"/>
    </row>
    <row r="491" spans="3:12" ht="15.75" customHeight="1">
      <c r="C491" s="13"/>
      <c r="K491" s="2"/>
      <c r="L491" s="2"/>
    </row>
    <row r="492" spans="3:12" ht="15.75" customHeight="1">
      <c r="C492" s="13"/>
      <c r="K492" s="2"/>
      <c r="L492" s="2"/>
    </row>
    <row r="493" spans="3:12" ht="15.75" customHeight="1">
      <c r="C493" s="13"/>
      <c r="K493" s="2"/>
      <c r="L493" s="2"/>
    </row>
    <row r="494" spans="3:12" ht="15.75" customHeight="1">
      <c r="C494" s="13"/>
      <c r="K494" s="2"/>
      <c r="L494" s="2"/>
    </row>
    <row r="495" spans="3:12" ht="15.75" customHeight="1">
      <c r="C495" s="13"/>
      <c r="K495" s="2"/>
      <c r="L495" s="2"/>
    </row>
    <row r="496" spans="3:12" ht="15.75" customHeight="1">
      <c r="C496" s="13"/>
      <c r="K496" s="2"/>
      <c r="L496" s="2"/>
    </row>
    <row r="497" spans="3:12" ht="15.75" customHeight="1">
      <c r="C497" s="13"/>
      <c r="K497" s="2"/>
      <c r="L497" s="2"/>
    </row>
    <row r="498" spans="3:12" ht="15.75" customHeight="1">
      <c r="C498" s="13"/>
      <c r="K498" s="2"/>
      <c r="L498" s="2"/>
    </row>
    <row r="499" spans="3:12" ht="15.75" customHeight="1">
      <c r="C499" s="13"/>
      <c r="K499" s="2"/>
      <c r="L499" s="2"/>
    </row>
    <row r="500" spans="3:12" ht="15.75" customHeight="1">
      <c r="C500" s="13"/>
      <c r="K500" s="2"/>
      <c r="L500" s="2"/>
    </row>
    <row r="501" spans="3:12" ht="15.75" customHeight="1">
      <c r="C501" s="13"/>
      <c r="K501" s="2"/>
      <c r="L501" s="2"/>
    </row>
    <row r="502" spans="3:12" ht="15.75" customHeight="1">
      <c r="C502" s="13"/>
      <c r="K502" s="2"/>
      <c r="L502" s="2"/>
    </row>
    <row r="503" spans="3:12" ht="15.75" customHeight="1">
      <c r="C503" s="13"/>
      <c r="K503" s="2"/>
      <c r="L503" s="2"/>
    </row>
    <row r="504" spans="3:12" ht="15.75" customHeight="1">
      <c r="C504" s="13"/>
      <c r="K504" s="2"/>
      <c r="L504" s="2"/>
    </row>
    <row r="505" spans="3:12" ht="15.75" customHeight="1">
      <c r="C505" s="13"/>
      <c r="K505" s="2"/>
      <c r="L505" s="2"/>
    </row>
    <row r="506" spans="3:12" ht="15.75" customHeight="1">
      <c r="C506" s="13"/>
      <c r="K506" s="2"/>
      <c r="L506" s="2"/>
    </row>
    <row r="507" spans="3:12" ht="15.75" customHeight="1">
      <c r="C507" s="13"/>
      <c r="K507" s="2"/>
      <c r="L507" s="2"/>
    </row>
    <row r="508" spans="3:12" ht="15.75" customHeight="1">
      <c r="C508" s="13"/>
      <c r="K508" s="2"/>
      <c r="L508" s="2"/>
    </row>
    <row r="509" spans="3:12" ht="15.75" customHeight="1">
      <c r="C509" s="13"/>
      <c r="K509" s="2"/>
      <c r="L509" s="2"/>
    </row>
    <row r="510" spans="3:12" ht="15.75" customHeight="1">
      <c r="C510" s="13"/>
      <c r="K510" s="2"/>
      <c r="L510" s="2"/>
    </row>
    <row r="511" spans="3:12" ht="15.75" customHeight="1">
      <c r="C511" s="13"/>
      <c r="K511" s="2"/>
      <c r="L511" s="2"/>
    </row>
    <row r="512" spans="3:12" ht="15.75" customHeight="1">
      <c r="C512" s="13"/>
      <c r="K512" s="2"/>
      <c r="L512" s="2"/>
    </row>
    <row r="513" spans="3:12" ht="15.75" customHeight="1">
      <c r="C513" s="13"/>
      <c r="K513" s="2"/>
      <c r="L513" s="2"/>
    </row>
    <row r="514" spans="3:12" ht="15.75" customHeight="1">
      <c r="C514" s="13"/>
      <c r="K514" s="2"/>
      <c r="L514" s="2"/>
    </row>
    <row r="515" spans="3:12" ht="15.75" customHeight="1">
      <c r="C515" s="13"/>
      <c r="K515" s="2"/>
      <c r="L515" s="2"/>
    </row>
    <row r="516" spans="3:12" ht="15.75" customHeight="1">
      <c r="C516" s="13"/>
      <c r="K516" s="2"/>
      <c r="L516" s="2"/>
    </row>
    <row r="517" spans="3:12" ht="15.75" customHeight="1">
      <c r="C517" s="13"/>
      <c r="K517" s="2"/>
      <c r="L517" s="2"/>
    </row>
    <row r="518" spans="3:12" ht="15.75" customHeight="1">
      <c r="C518" s="13"/>
      <c r="K518" s="2"/>
      <c r="L518" s="2"/>
    </row>
    <row r="519" spans="3:12" ht="15.75" customHeight="1">
      <c r="C519" s="13"/>
      <c r="K519" s="2"/>
      <c r="L519" s="2"/>
    </row>
    <row r="520" spans="3:12" ht="15.75" customHeight="1">
      <c r="C520" s="13"/>
      <c r="K520" s="2"/>
      <c r="L520" s="2"/>
    </row>
    <row r="521" spans="3:12" ht="15.75" customHeight="1">
      <c r="C521" s="13"/>
      <c r="K521" s="2"/>
      <c r="L521" s="2"/>
    </row>
    <row r="522" spans="3:12" ht="15.75" customHeight="1">
      <c r="C522" s="13"/>
      <c r="K522" s="2"/>
      <c r="L522" s="2"/>
    </row>
    <row r="523" spans="3:12" ht="15.75" customHeight="1">
      <c r="C523" s="13"/>
      <c r="K523" s="2"/>
      <c r="L523" s="2"/>
    </row>
    <row r="524" spans="3:12" ht="15.75" customHeight="1">
      <c r="C524" s="13"/>
      <c r="K524" s="2"/>
      <c r="L524" s="2"/>
    </row>
    <row r="525" spans="3:12" ht="15.75" customHeight="1">
      <c r="C525" s="13"/>
      <c r="K525" s="2"/>
      <c r="L525" s="2"/>
    </row>
    <row r="526" spans="3:12" ht="15.75" customHeight="1">
      <c r="C526" s="13"/>
      <c r="K526" s="2"/>
      <c r="L526" s="2"/>
    </row>
    <row r="527" spans="3:12" ht="15.75" customHeight="1">
      <c r="C527" s="13"/>
      <c r="K527" s="2"/>
      <c r="L527" s="2"/>
    </row>
    <row r="528" spans="3:12" ht="15.75" customHeight="1">
      <c r="C528" s="13"/>
      <c r="K528" s="2"/>
      <c r="L528" s="2"/>
    </row>
    <row r="529" spans="3:12" ht="15.75" customHeight="1">
      <c r="C529" s="13"/>
      <c r="K529" s="2"/>
      <c r="L529" s="2"/>
    </row>
    <row r="530" spans="3:12" ht="15.75" customHeight="1">
      <c r="C530" s="13"/>
      <c r="K530" s="2"/>
      <c r="L530" s="2"/>
    </row>
    <row r="531" spans="3:12" ht="15.75" customHeight="1">
      <c r="C531" s="13"/>
      <c r="K531" s="2"/>
      <c r="L531" s="2"/>
    </row>
    <row r="532" spans="3:12" ht="15.75" customHeight="1">
      <c r="C532" s="13"/>
      <c r="K532" s="2"/>
      <c r="L532" s="2"/>
    </row>
    <row r="533" spans="3:12" ht="15.75" customHeight="1">
      <c r="C533" s="13"/>
      <c r="K533" s="2"/>
      <c r="L533" s="2"/>
    </row>
    <row r="534" spans="3:12" ht="15.75" customHeight="1">
      <c r="C534" s="13"/>
      <c r="K534" s="2"/>
      <c r="L534" s="2"/>
    </row>
    <row r="535" spans="3:12" ht="15.75" customHeight="1">
      <c r="C535" s="13"/>
      <c r="K535" s="2"/>
      <c r="L535" s="2"/>
    </row>
    <row r="536" spans="3:12" ht="15.75" customHeight="1">
      <c r="C536" s="13"/>
      <c r="K536" s="2"/>
      <c r="L536" s="2"/>
    </row>
    <row r="537" spans="3:12" ht="15.75" customHeight="1">
      <c r="C537" s="13"/>
      <c r="K537" s="2"/>
      <c r="L537" s="2"/>
    </row>
    <row r="538" spans="3:12" ht="15.75" customHeight="1">
      <c r="C538" s="13"/>
      <c r="K538" s="2"/>
      <c r="L538" s="2"/>
    </row>
    <row r="539" spans="3:12" ht="15.75" customHeight="1">
      <c r="C539" s="13"/>
      <c r="K539" s="2"/>
      <c r="L539" s="2"/>
    </row>
    <row r="540" spans="3:12" ht="15.75" customHeight="1">
      <c r="C540" s="13"/>
      <c r="K540" s="2"/>
      <c r="L540" s="2"/>
    </row>
    <row r="541" spans="3:12" ht="15.75" customHeight="1">
      <c r="C541" s="13"/>
      <c r="K541" s="2"/>
      <c r="L541" s="2"/>
    </row>
    <row r="542" spans="3:12" ht="15.75" customHeight="1">
      <c r="C542" s="13"/>
      <c r="K542" s="2"/>
      <c r="L542" s="2"/>
    </row>
    <row r="543" spans="3:12" ht="15.75" customHeight="1">
      <c r="C543" s="13"/>
      <c r="K543" s="2"/>
      <c r="L543" s="2"/>
    </row>
    <row r="544" spans="3:12" ht="15.75" customHeight="1">
      <c r="C544" s="13"/>
      <c r="K544" s="2"/>
      <c r="L544" s="2"/>
    </row>
    <row r="545" spans="3:12" ht="15.75" customHeight="1">
      <c r="C545" s="13"/>
      <c r="K545" s="2"/>
      <c r="L545" s="2"/>
    </row>
    <row r="546" spans="3:12" ht="15.75" customHeight="1">
      <c r="C546" s="13"/>
      <c r="K546" s="2"/>
      <c r="L546" s="2"/>
    </row>
    <row r="547" spans="3:12" ht="15.75" customHeight="1">
      <c r="C547" s="13"/>
      <c r="K547" s="2"/>
      <c r="L547" s="2"/>
    </row>
    <row r="548" spans="3:12" ht="15.75" customHeight="1">
      <c r="C548" s="13"/>
      <c r="K548" s="2"/>
      <c r="L548" s="2"/>
    </row>
    <row r="549" spans="3:12" ht="15.75" customHeight="1">
      <c r="C549" s="13"/>
      <c r="K549" s="2"/>
      <c r="L549" s="2"/>
    </row>
    <row r="550" spans="3:12" ht="15.75" customHeight="1">
      <c r="C550" s="13"/>
      <c r="K550" s="2"/>
      <c r="L550" s="2"/>
    </row>
    <row r="551" spans="3:12" ht="15.75" customHeight="1">
      <c r="C551" s="13"/>
      <c r="K551" s="2"/>
      <c r="L551" s="2"/>
    </row>
    <row r="552" spans="3:12" ht="15.75" customHeight="1">
      <c r="C552" s="13"/>
      <c r="K552" s="2"/>
      <c r="L552" s="2"/>
    </row>
    <row r="553" spans="3:12" ht="15.75" customHeight="1">
      <c r="C553" s="13"/>
      <c r="K553" s="2"/>
      <c r="L553" s="2"/>
    </row>
    <row r="554" spans="3:12" ht="15.75" customHeight="1">
      <c r="C554" s="13"/>
      <c r="K554" s="2"/>
      <c r="L554" s="2"/>
    </row>
    <row r="555" spans="3:12" ht="15.75" customHeight="1">
      <c r="C555" s="13"/>
      <c r="K555" s="2"/>
      <c r="L555" s="2"/>
    </row>
    <row r="556" spans="3:12" ht="15.75" customHeight="1">
      <c r="C556" s="13"/>
      <c r="K556" s="2"/>
      <c r="L556" s="2"/>
    </row>
    <row r="557" spans="3:12" ht="15.75" customHeight="1">
      <c r="C557" s="13"/>
      <c r="K557" s="2"/>
      <c r="L557" s="2"/>
    </row>
    <row r="558" spans="3:12" ht="15.75" customHeight="1">
      <c r="C558" s="13"/>
      <c r="K558" s="2"/>
      <c r="L558" s="2"/>
    </row>
    <row r="559" spans="3:12" ht="15.75" customHeight="1">
      <c r="C559" s="13"/>
      <c r="K559" s="2"/>
      <c r="L559" s="2"/>
    </row>
    <row r="560" spans="3:12" ht="15.75" customHeight="1">
      <c r="C560" s="13"/>
      <c r="K560" s="2"/>
      <c r="L560" s="2"/>
    </row>
    <row r="561" spans="3:12" ht="15.75" customHeight="1">
      <c r="C561" s="13"/>
      <c r="K561" s="2"/>
      <c r="L561" s="2"/>
    </row>
    <row r="562" spans="3:12" ht="15.75" customHeight="1">
      <c r="C562" s="13"/>
      <c r="K562" s="2"/>
      <c r="L562" s="2"/>
    </row>
    <row r="563" spans="3:12" ht="15.75" customHeight="1">
      <c r="C563" s="13"/>
      <c r="K563" s="2"/>
      <c r="L563" s="2"/>
    </row>
    <row r="564" spans="3:12" ht="15.75" customHeight="1">
      <c r="C564" s="13"/>
      <c r="K564" s="2"/>
      <c r="L564" s="2"/>
    </row>
    <row r="565" spans="3:12" ht="15.75" customHeight="1">
      <c r="C565" s="13"/>
      <c r="K565" s="2"/>
      <c r="L565" s="2"/>
    </row>
    <row r="566" spans="3:12" ht="15.75" customHeight="1">
      <c r="C566" s="13"/>
      <c r="K566" s="2"/>
      <c r="L566" s="2"/>
    </row>
    <row r="567" spans="3:12" ht="15.75" customHeight="1">
      <c r="C567" s="13"/>
      <c r="K567" s="2"/>
      <c r="L567" s="2"/>
    </row>
    <row r="568" spans="3:12" ht="15.75" customHeight="1">
      <c r="C568" s="13"/>
      <c r="K568" s="2"/>
      <c r="L568" s="2"/>
    </row>
    <row r="569" spans="3:12" ht="15.75" customHeight="1">
      <c r="C569" s="13"/>
      <c r="K569" s="2"/>
      <c r="L569" s="2"/>
    </row>
    <row r="570" spans="3:12" ht="15.75" customHeight="1">
      <c r="C570" s="13"/>
      <c r="K570" s="2"/>
      <c r="L570" s="2"/>
    </row>
    <row r="571" spans="3:12" ht="15.75" customHeight="1">
      <c r="C571" s="13"/>
      <c r="K571" s="2"/>
      <c r="L571" s="2"/>
    </row>
    <row r="572" spans="3:12" ht="15.75" customHeight="1">
      <c r="C572" s="13"/>
      <c r="K572" s="2"/>
      <c r="L572" s="2"/>
    </row>
    <row r="573" spans="3:12" ht="15.75" customHeight="1">
      <c r="C573" s="13"/>
      <c r="K573" s="2"/>
      <c r="L573" s="2"/>
    </row>
    <row r="574" spans="3:12" ht="15.75" customHeight="1">
      <c r="C574" s="13"/>
      <c r="K574" s="2"/>
      <c r="L574" s="2"/>
    </row>
    <row r="575" spans="3:12" ht="15.75" customHeight="1">
      <c r="C575" s="13"/>
      <c r="K575" s="2"/>
      <c r="L575" s="2"/>
    </row>
    <row r="576" spans="3:12" ht="15.75" customHeight="1">
      <c r="C576" s="13"/>
      <c r="K576" s="2"/>
      <c r="L576" s="2"/>
    </row>
    <row r="577" spans="3:12" ht="15.75" customHeight="1">
      <c r="C577" s="13"/>
      <c r="K577" s="2"/>
      <c r="L577" s="2"/>
    </row>
    <row r="578" spans="3:12" ht="15.75" customHeight="1">
      <c r="C578" s="13"/>
      <c r="K578" s="2"/>
      <c r="L578" s="2"/>
    </row>
    <row r="579" spans="3:12" ht="15.75" customHeight="1">
      <c r="C579" s="13"/>
      <c r="K579" s="2"/>
      <c r="L579" s="2"/>
    </row>
    <row r="580" spans="3:12" ht="15.75" customHeight="1">
      <c r="C580" s="13"/>
      <c r="K580" s="2"/>
      <c r="L580" s="2"/>
    </row>
    <row r="581" spans="3:12" ht="15.75" customHeight="1">
      <c r="C581" s="13"/>
      <c r="K581" s="2"/>
      <c r="L581" s="2"/>
    </row>
    <row r="582" spans="3:12" ht="15.75" customHeight="1">
      <c r="C582" s="13"/>
      <c r="K582" s="2"/>
      <c r="L582" s="2"/>
    </row>
    <row r="583" spans="3:12" ht="15.75" customHeight="1">
      <c r="C583" s="13"/>
      <c r="K583" s="2"/>
      <c r="L583" s="2"/>
    </row>
    <row r="584" spans="3:12" ht="15.75" customHeight="1">
      <c r="C584" s="13"/>
      <c r="K584" s="2"/>
      <c r="L584" s="2"/>
    </row>
    <row r="585" spans="3:12" ht="15.75" customHeight="1">
      <c r="C585" s="13"/>
      <c r="K585" s="2"/>
      <c r="L585" s="2"/>
    </row>
    <row r="586" spans="3:12" ht="15.75" customHeight="1">
      <c r="C586" s="13"/>
      <c r="K586" s="2"/>
      <c r="L586" s="2"/>
    </row>
    <row r="587" spans="3:12" ht="15.75" customHeight="1">
      <c r="C587" s="13"/>
      <c r="K587" s="2"/>
      <c r="L587" s="2"/>
    </row>
    <row r="588" spans="3:12" ht="15.75" customHeight="1">
      <c r="C588" s="13"/>
      <c r="K588" s="2"/>
      <c r="L588" s="2"/>
    </row>
    <row r="589" spans="3:12" ht="15.75" customHeight="1">
      <c r="C589" s="13"/>
      <c r="K589" s="2"/>
      <c r="L589" s="2"/>
    </row>
    <row r="590" spans="3:12" ht="15.75" customHeight="1">
      <c r="C590" s="13"/>
      <c r="K590" s="2"/>
      <c r="L590" s="2"/>
    </row>
    <row r="591" spans="3:12" ht="15.75" customHeight="1">
      <c r="C591" s="13"/>
      <c r="K591" s="2"/>
      <c r="L591" s="2"/>
    </row>
    <row r="592" spans="3:12" ht="15.75" customHeight="1">
      <c r="C592" s="13"/>
      <c r="K592" s="2"/>
      <c r="L592" s="2"/>
    </row>
    <row r="593" spans="3:12" ht="15.75" customHeight="1">
      <c r="C593" s="13"/>
      <c r="K593" s="2"/>
      <c r="L593" s="2"/>
    </row>
    <row r="594" spans="3:12" ht="15.75" customHeight="1">
      <c r="C594" s="13"/>
      <c r="K594" s="2"/>
      <c r="L594" s="2"/>
    </row>
    <row r="595" spans="3:12" ht="15.75" customHeight="1">
      <c r="C595" s="13"/>
      <c r="K595" s="2"/>
      <c r="L595" s="2"/>
    </row>
    <row r="596" spans="3:12" ht="15.75" customHeight="1">
      <c r="C596" s="13"/>
      <c r="K596" s="2"/>
      <c r="L596" s="2"/>
    </row>
    <row r="597" spans="3:12" ht="15.75" customHeight="1">
      <c r="C597" s="13"/>
      <c r="K597" s="2"/>
      <c r="L597" s="2"/>
    </row>
    <row r="598" spans="3:12" ht="15.75" customHeight="1">
      <c r="C598" s="13"/>
      <c r="K598" s="2"/>
      <c r="L598" s="2"/>
    </row>
    <row r="599" spans="3:12" ht="15.75" customHeight="1">
      <c r="C599" s="13"/>
      <c r="K599" s="2"/>
      <c r="L599" s="2"/>
    </row>
    <row r="600" spans="3:12" ht="15.75" customHeight="1">
      <c r="C600" s="13"/>
      <c r="K600" s="2"/>
      <c r="L600" s="2"/>
    </row>
    <row r="601" spans="3:12" ht="15.75" customHeight="1">
      <c r="C601" s="13"/>
      <c r="K601" s="2"/>
      <c r="L601" s="2"/>
    </row>
    <row r="602" spans="3:12" ht="15.75" customHeight="1">
      <c r="C602" s="13"/>
      <c r="K602" s="2"/>
      <c r="L602" s="2"/>
    </row>
    <row r="603" spans="3:12" ht="15.75" customHeight="1">
      <c r="C603" s="13"/>
      <c r="K603" s="2"/>
      <c r="L603" s="2"/>
    </row>
    <row r="604" spans="3:12" ht="15.75" customHeight="1">
      <c r="C604" s="13"/>
      <c r="K604" s="2"/>
      <c r="L604" s="2"/>
    </row>
    <row r="605" spans="3:12" ht="15.75" customHeight="1">
      <c r="C605" s="13"/>
      <c r="K605" s="2"/>
      <c r="L605" s="2"/>
    </row>
    <row r="606" spans="3:12" ht="15.75" customHeight="1">
      <c r="C606" s="13"/>
      <c r="K606" s="2"/>
      <c r="L606" s="2"/>
    </row>
    <row r="607" spans="3:12" ht="15.75" customHeight="1">
      <c r="C607" s="13"/>
      <c r="K607" s="2"/>
      <c r="L607" s="2"/>
    </row>
    <row r="608" spans="3:12" ht="15.75" customHeight="1">
      <c r="C608" s="13"/>
      <c r="K608" s="2"/>
      <c r="L608" s="2"/>
    </row>
    <row r="609" spans="3:12" ht="15.75" customHeight="1">
      <c r="C609" s="13"/>
      <c r="K609" s="2"/>
      <c r="L609" s="2"/>
    </row>
    <row r="610" spans="3:12" ht="15.75" customHeight="1">
      <c r="C610" s="13"/>
      <c r="K610" s="2"/>
      <c r="L610" s="2"/>
    </row>
    <row r="611" spans="3:12" ht="15.75" customHeight="1">
      <c r="C611" s="13"/>
      <c r="K611" s="2"/>
      <c r="L611" s="2"/>
    </row>
    <row r="612" spans="3:12" ht="15.75" customHeight="1">
      <c r="C612" s="13"/>
      <c r="K612" s="2"/>
      <c r="L612" s="2"/>
    </row>
    <row r="613" spans="3:12" ht="15.75" customHeight="1">
      <c r="C613" s="13"/>
      <c r="K613" s="2"/>
      <c r="L613" s="2"/>
    </row>
    <row r="614" spans="3:12" ht="15.75" customHeight="1">
      <c r="C614" s="13"/>
      <c r="K614" s="2"/>
      <c r="L614" s="2"/>
    </row>
    <row r="615" spans="3:12" ht="15.75" customHeight="1">
      <c r="C615" s="13"/>
      <c r="K615" s="2"/>
      <c r="L615" s="2"/>
    </row>
    <row r="616" spans="3:12" ht="15.75" customHeight="1">
      <c r="C616" s="13"/>
      <c r="K616" s="2"/>
      <c r="L616" s="2"/>
    </row>
    <row r="617" spans="3:12" ht="15.75" customHeight="1">
      <c r="C617" s="13"/>
      <c r="K617" s="2"/>
      <c r="L617" s="2"/>
    </row>
    <row r="618" spans="3:12" ht="15.75" customHeight="1">
      <c r="C618" s="13"/>
      <c r="K618" s="2"/>
      <c r="L618" s="2"/>
    </row>
    <row r="619" spans="3:12" ht="15.75" customHeight="1">
      <c r="C619" s="13"/>
      <c r="K619" s="2"/>
      <c r="L619" s="2"/>
    </row>
    <row r="620" spans="3:12" ht="15.75" customHeight="1">
      <c r="C620" s="13"/>
      <c r="K620" s="2"/>
      <c r="L620" s="2"/>
    </row>
    <row r="621" spans="3:12" ht="15.75" customHeight="1">
      <c r="C621" s="13"/>
      <c r="K621" s="2"/>
      <c r="L621" s="2"/>
    </row>
    <row r="622" spans="3:12" ht="15.75" customHeight="1">
      <c r="C622" s="13"/>
      <c r="K622" s="2"/>
      <c r="L622" s="2"/>
    </row>
    <row r="623" spans="3:12" ht="15.75" customHeight="1">
      <c r="C623" s="13"/>
      <c r="K623" s="2"/>
      <c r="L623" s="2"/>
    </row>
    <row r="624" spans="3:12" ht="15.75" customHeight="1">
      <c r="C624" s="13"/>
      <c r="K624" s="2"/>
      <c r="L624" s="2"/>
    </row>
    <row r="625" spans="3:12" ht="15.75" customHeight="1">
      <c r="C625" s="13"/>
      <c r="K625" s="2"/>
      <c r="L625" s="2"/>
    </row>
    <row r="626" spans="3:12" ht="15.75" customHeight="1">
      <c r="C626" s="13"/>
      <c r="K626" s="2"/>
      <c r="L626" s="2"/>
    </row>
    <row r="627" spans="3:12" ht="15.75" customHeight="1">
      <c r="C627" s="13"/>
      <c r="K627" s="2"/>
      <c r="L627" s="2"/>
    </row>
    <row r="628" spans="3:12" ht="15.75" customHeight="1">
      <c r="C628" s="13"/>
      <c r="K628" s="2"/>
      <c r="L628" s="2"/>
    </row>
    <row r="629" spans="3:12" ht="15.75" customHeight="1">
      <c r="C629" s="13"/>
      <c r="K629" s="2"/>
      <c r="L629" s="2"/>
    </row>
    <row r="630" spans="3:12" ht="15.75" customHeight="1">
      <c r="C630" s="13"/>
      <c r="K630" s="2"/>
      <c r="L630" s="2"/>
    </row>
    <row r="631" spans="3:12" ht="15.75" customHeight="1">
      <c r="C631" s="13"/>
      <c r="K631" s="2"/>
      <c r="L631" s="2"/>
    </row>
    <row r="632" spans="3:12" ht="15.75" customHeight="1">
      <c r="C632" s="13"/>
      <c r="K632" s="2"/>
      <c r="L632" s="2"/>
    </row>
    <row r="633" spans="3:12" ht="15.75" customHeight="1">
      <c r="C633" s="13"/>
      <c r="K633" s="2"/>
      <c r="L633" s="2"/>
    </row>
    <row r="634" spans="3:12" ht="15.75" customHeight="1">
      <c r="C634" s="13"/>
      <c r="K634" s="2"/>
      <c r="L634" s="2"/>
    </row>
    <row r="635" spans="3:12" ht="15.75" customHeight="1">
      <c r="C635" s="13"/>
      <c r="K635" s="2"/>
      <c r="L635" s="2"/>
    </row>
    <row r="636" spans="3:12" ht="15.75" customHeight="1">
      <c r="C636" s="13"/>
      <c r="K636" s="2"/>
      <c r="L636" s="2"/>
    </row>
    <row r="637" spans="3:12" ht="15.75" customHeight="1">
      <c r="C637" s="13"/>
      <c r="K637" s="2"/>
      <c r="L637" s="2"/>
    </row>
    <row r="638" spans="3:12" ht="15.75" customHeight="1">
      <c r="C638" s="13"/>
      <c r="K638" s="2"/>
      <c r="L638" s="2"/>
    </row>
    <row r="639" spans="3:12" ht="15.75" customHeight="1">
      <c r="C639" s="13"/>
      <c r="K639" s="2"/>
      <c r="L639" s="2"/>
    </row>
    <row r="640" spans="3:12" ht="15.75" customHeight="1">
      <c r="C640" s="13"/>
      <c r="K640" s="2"/>
      <c r="L640" s="2"/>
    </row>
    <row r="641" spans="3:12" ht="15.75" customHeight="1">
      <c r="C641" s="13"/>
      <c r="K641" s="2"/>
      <c r="L641" s="2"/>
    </row>
    <row r="642" spans="3:12" ht="15.75" customHeight="1">
      <c r="C642" s="13"/>
      <c r="K642" s="2"/>
      <c r="L642" s="2"/>
    </row>
    <row r="643" spans="3:12" ht="15.75" customHeight="1">
      <c r="C643" s="13"/>
      <c r="K643" s="2"/>
      <c r="L643" s="2"/>
    </row>
    <row r="644" spans="3:12" ht="15.75" customHeight="1">
      <c r="C644" s="13"/>
      <c r="K644" s="2"/>
      <c r="L644" s="2"/>
    </row>
    <row r="645" spans="3:12" ht="15.75" customHeight="1">
      <c r="C645" s="13"/>
      <c r="K645" s="2"/>
      <c r="L645" s="2"/>
    </row>
    <row r="646" spans="3:12" ht="15.75" customHeight="1">
      <c r="C646" s="13"/>
      <c r="K646" s="2"/>
      <c r="L646" s="2"/>
    </row>
    <row r="647" spans="3:12" ht="15.75" customHeight="1">
      <c r="C647" s="13"/>
      <c r="K647" s="2"/>
      <c r="L647" s="2"/>
    </row>
    <row r="648" spans="3:12" ht="15.75" customHeight="1">
      <c r="C648" s="13"/>
      <c r="K648" s="2"/>
      <c r="L648" s="2"/>
    </row>
    <row r="649" spans="3:12" ht="15.75" customHeight="1">
      <c r="C649" s="13"/>
      <c r="K649" s="2"/>
      <c r="L649" s="2"/>
    </row>
    <row r="650" spans="3:12" ht="15.75" customHeight="1">
      <c r="C650" s="13"/>
      <c r="K650" s="2"/>
      <c r="L650" s="2"/>
    </row>
    <row r="651" spans="3:12" ht="15.75" customHeight="1">
      <c r="C651" s="13"/>
      <c r="K651" s="2"/>
      <c r="L651" s="2"/>
    </row>
    <row r="652" spans="3:12" ht="15.75" customHeight="1">
      <c r="C652" s="13"/>
      <c r="K652" s="2"/>
      <c r="L652" s="2"/>
    </row>
    <row r="653" spans="3:12" ht="15.75" customHeight="1">
      <c r="C653" s="13"/>
      <c r="K653" s="2"/>
      <c r="L653" s="2"/>
    </row>
    <row r="654" spans="3:12" ht="15.75" customHeight="1">
      <c r="C654" s="13"/>
      <c r="K654" s="2"/>
      <c r="L654" s="2"/>
    </row>
    <row r="655" spans="3:12" ht="15.75" customHeight="1">
      <c r="C655" s="13"/>
      <c r="K655" s="2"/>
      <c r="L655" s="2"/>
    </row>
    <row r="656" spans="3:12" ht="15.75" customHeight="1">
      <c r="C656" s="13"/>
      <c r="K656" s="2"/>
      <c r="L656" s="2"/>
    </row>
    <row r="657" spans="3:12" ht="15.75" customHeight="1">
      <c r="C657" s="13"/>
      <c r="K657" s="2"/>
      <c r="L657" s="2"/>
    </row>
    <row r="658" spans="3:12" ht="15.75" customHeight="1">
      <c r="C658" s="13"/>
      <c r="K658" s="2"/>
      <c r="L658" s="2"/>
    </row>
    <row r="659" spans="3:12" ht="15.75" customHeight="1">
      <c r="C659" s="13"/>
      <c r="K659" s="2"/>
      <c r="L659" s="2"/>
    </row>
    <row r="660" spans="3:12" ht="15.75" customHeight="1">
      <c r="C660" s="13"/>
      <c r="K660" s="2"/>
      <c r="L660" s="2"/>
    </row>
    <row r="661" spans="3:12" ht="15.75" customHeight="1">
      <c r="C661" s="13"/>
      <c r="K661" s="2"/>
      <c r="L661" s="2"/>
    </row>
    <row r="662" spans="3:12" ht="15.75" customHeight="1">
      <c r="C662" s="13"/>
      <c r="K662" s="2"/>
      <c r="L662" s="2"/>
    </row>
    <row r="663" spans="3:12" ht="15.75" customHeight="1">
      <c r="C663" s="13"/>
      <c r="K663" s="2"/>
      <c r="L663" s="2"/>
    </row>
    <row r="664" spans="3:12" ht="15.75" customHeight="1">
      <c r="C664" s="13"/>
      <c r="K664" s="2"/>
      <c r="L664" s="2"/>
    </row>
    <row r="665" spans="3:12" ht="15.75" customHeight="1">
      <c r="C665" s="13"/>
      <c r="K665" s="2"/>
      <c r="L665" s="2"/>
    </row>
    <row r="666" spans="3:12" ht="15.75" customHeight="1">
      <c r="C666" s="13"/>
      <c r="K666" s="2"/>
      <c r="L666" s="2"/>
    </row>
    <row r="667" spans="3:12" ht="15.75" customHeight="1">
      <c r="C667" s="13"/>
      <c r="K667" s="2"/>
      <c r="L667" s="2"/>
    </row>
    <row r="668" spans="3:12" ht="15.75" customHeight="1">
      <c r="C668" s="13"/>
      <c r="K668" s="2"/>
      <c r="L668" s="2"/>
    </row>
    <row r="669" spans="3:12" ht="15.75" customHeight="1">
      <c r="C669" s="13"/>
      <c r="K669" s="2"/>
      <c r="L669" s="2"/>
    </row>
    <row r="670" spans="3:12" ht="15.75" customHeight="1">
      <c r="C670" s="13"/>
      <c r="K670" s="2"/>
      <c r="L670" s="2"/>
    </row>
    <row r="671" spans="3:12" ht="15.75" customHeight="1">
      <c r="C671" s="13"/>
      <c r="K671" s="2"/>
      <c r="L671" s="2"/>
    </row>
    <row r="672" spans="3:12" ht="15.75" customHeight="1">
      <c r="C672" s="13"/>
      <c r="K672" s="2"/>
      <c r="L672" s="2"/>
    </row>
    <row r="673" spans="3:12" ht="15.75" customHeight="1">
      <c r="C673" s="13"/>
      <c r="K673" s="2"/>
      <c r="L673" s="2"/>
    </row>
    <row r="674" spans="3:12" ht="15.75" customHeight="1">
      <c r="C674" s="13"/>
      <c r="K674" s="2"/>
      <c r="L674" s="2"/>
    </row>
    <row r="675" spans="3:12" ht="15.75" customHeight="1">
      <c r="C675" s="13"/>
      <c r="K675" s="2"/>
      <c r="L675" s="2"/>
    </row>
    <row r="676" spans="3:12" ht="15.75" customHeight="1">
      <c r="C676" s="13"/>
      <c r="K676" s="2"/>
      <c r="L676" s="2"/>
    </row>
    <row r="677" spans="3:12" ht="15.75" customHeight="1">
      <c r="C677" s="13"/>
      <c r="K677" s="2"/>
      <c r="L677" s="2"/>
    </row>
    <row r="678" spans="3:12" ht="15.75" customHeight="1">
      <c r="C678" s="13"/>
      <c r="K678" s="2"/>
      <c r="L678" s="2"/>
    </row>
    <row r="679" spans="3:12" ht="15.75" customHeight="1">
      <c r="C679" s="13"/>
      <c r="K679" s="2"/>
      <c r="L679" s="2"/>
    </row>
    <row r="680" spans="3:12" ht="15.75" customHeight="1">
      <c r="C680" s="13"/>
      <c r="K680" s="2"/>
      <c r="L680" s="2"/>
    </row>
    <row r="681" spans="3:12" ht="15.75" customHeight="1">
      <c r="C681" s="13"/>
      <c r="K681" s="2"/>
      <c r="L681" s="2"/>
    </row>
    <row r="682" spans="3:12" ht="15.75" customHeight="1">
      <c r="C682" s="13"/>
      <c r="K682" s="2"/>
      <c r="L682" s="2"/>
    </row>
    <row r="683" spans="3:12" ht="15.75" customHeight="1">
      <c r="C683" s="13"/>
      <c r="K683" s="2"/>
      <c r="L683" s="2"/>
    </row>
    <row r="684" spans="3:12" ht="15.75" customHeight="1">
      <c r="C684" s="13"/>
      <c r="K684" s="2"/>
      <c r="L684" s="2"/>
    </row>
    <row r="685" spans="3:12" ht="15.75" customHeight="1">
      <c r="C685" s="13"/>
      <c r="K685" s="2"/>
      <c r="L685" s="2"/>
    </row>
    <row r="686" spans="3:12" ht="15.75" customHeight="1">
      <c r="C686" s="13"/>
      <c r="K686" s="2"/>
      <c r="L686" s="2"/>
    </row>
    <row r="687" spans="3:12" ht="15.75" customHeight="1">
      <c r="C687" s="13"/>
      <c r="K687" s="2"/>
      <c r="L687" s="2"/>
    </row>
    <row r="688" spans="3:12" ht="15.75" customHeight="1">
      <c r="C688" s="13"/>
      <c r="K688" s="2"/>
      <c r="L688" s="2"/>
    </row>
    <row r="689" spans="3:12" ht="15.75" customHeight="1">
      <c r="C689" s="13"/>
      <c r="K689" s="2"/>
      <c r="L689" s="2"/>
    </row>
    <row r="690" spans="3:12" ht="15.75" customHeight="1">
      <c r="C690" s="13"/>
      <c r="K690" s="2"/>
      <c r="L690" s="2"/>
    </row>
    <row r="691" spans="3:12" ht="15.75" customHeight="1">
      <c r="C691" s="13"/>
      <c r="K691" s="2"/>
      <c r="L691" s="2"/>
    </row>
    <row r="692" spans="3:12" ht="15.75" customHeight="1">
      <c r="C692" s="13"/>
      <c r="K692" s="2"/>
      <c r="L692" s="2"/>
    </row>
    <row r="693" spans="3:12" ht="15.75" customHeight="1">
      <c r="C693" s="13"/>
      <c r="K693" s="2"/>
      <c r="L693" s="2"/>
    </row>
    <row r="694" spans="3:12" ht="15.75" customHeight="1">
      <c r="C694" s="13"/>
      <c r="K694" s="2"/>
      <c r="L694" s="2"/>
    </row>
    <row r="695" spans="3:12" ht="15.75" customHeight="1">
      <c r="C695" s="13"/>
      <c r="K695" s="2"/>
      <c r="L695" s="2"/>
    </row>
    <row r="696" spans="3:12" ht="15.75" customHeight="1">
      <c r="C696" s="13"/>
      <c r="K696" s="2"/>
      <c r="L696" s="2"/>
    </row>
    <row r="697" spans="3:12" ht="15.75" customHeight="1">
      <c r="C697" s="13"/>
      <c r="K697" s="2"/>
      <c r="L697" s="2"/>
    </row>
    <row r="698" spans="3:12" ht="15.75" customHeight="1">
      <c r="C698" s="13"/>
      <c r="K698" s="2"/>
      <c r="L698" s="2"/>
    </row>
    <row r="699" spans="3:12" ht="15.75" customHeight="1">
      <c r="C699" s="13"/>
      <c r="K699" s="2"/>
      <c r="L699" s="2"/>
    </row>
    <row r="700" spans="3:12" ht="15.75" customHeight="1">
      <c r="C700" s="13"/>
      <c r="K700" s="2"/>
      <c r="L700" s="2"/>
    </row>
    <row r="701" spans="3:12" ht="15.75" customHeight="1">
      <c r="C701" s="13"/>
      <c r="K701" s="2"/>
      <c r="L701" s="2"/>
    </row>
    <row r="702" spans="3:12" ht="15.75" customHeight="1">
      <c r="C702" s="13"/>
      <c r="K702" s="2"/>
      <c r="L702" s="2"/>
    </row>
    <row r="703" spans="3:12" ht="15.75" customHeight="1">
      <c r="C703" s="13"/>
      <c r="K703" s="2"/>
      <c r="L703" s="2"/>
    </row>
    <row r="704" spans="3:12" ht="15.75" customHeight="1">
      <c r="C704" s="13"/>
      <c r="K704" s="2"/>
      <c r="L704" s="2"/>
    </row>
    <row r="705" spans="3:12" ht="15.75" customHeight="1">
      <c r="C705" s="13"/>
      <c r="K705" s="2"/>
      <c r="L705" s="2"/>
    </row>
    <row r="706" spans="3:12" ht="15.75" customHeight="1">
      <c r="C706" s="13"/>
      <c r="K706" s="2"/>
      <c r="L706" s="2"/>
    </row>
    <row r="707" spans="3:12" ht="15.75" customHeight="1">
      <c r="C707" s="13"/>
      <c r="K707" s="2"/>
      <c r="L707" s="2"/>
    </row>
    <row r="708" spans="3:12" ht="15.75" customHeight="1">
      <c r="C708" s="13"/>
      <c r="K708" s="2"/>
      <c r="L708" s="2"/>
    </row>
    <row r="709" spans="3:12" ht="15.75" customHeight="1">
      <c r="C709" s="13"/>
      <c r="K709" s="2"/>
      <c r="L709" s="2"/>
    </row>
    <row r="710" spans="3:12" ht="15.75" customHeight="1">
      <c r="C710" s="13"/>
      <c r="K710" s="2"/>
      <c r="L710" s="2"/>
    </row>
    <row r="711" spans="3:12" ht="15.75" customHeight="1">
      <c r="C711" s="13"/>
      <c r="K711" s="2"/>
      <c r="L711" s="2"/>
    </row>
    <row r="712" spans="3:12" ht="15.75" customHeight="1">
      <c r="C712" s="13"/>
      <c r="K712" s="2"/>
      <c r="L712" s="2"/>
    </row>
    <row r="713" spans="3:12" ht="15.75" customHeight="1">
      <c r="C713" s="13"/>
      <c r="K713" s="2"/>
      <c r="L713" s="2"/>
    </row>
    <row r="714" spans="3:12" ht="15.75" customHeight="1">
      <c r="C714" s="13"/>
      <c r="K714" s="2"/>
      <c r="L714" s="2"/>
    </row>
    <row r="715" spans="3:12" ht="15.75" customHeight="1">
      <c r="C715" s="13"/>
      <c r="K715" s="2"/>
      <c r="L715" s="2"/>
    </row>
    <row r="716" spans="3:12" ht="15.75" customHeight="1">
      <c r="C716" s="13"/>
      <c r="K716" s="2"/>
      <c r="L716" s="2"/>
    </row>
    <row r="717" spans="3:12" ht="15.75" customHeight="1">
      <c r="C717" s="13"/>
      <c r="K717" s="2"/>
      <c r="L717" s="2"/>
    </row>
    <row r="718" spans="3:12" ht="15.75" customHeight="1">
      <c r="C718" s="13"/>
      <c r="K718" s="2"/>
      <c r="L718" s="2"/>
    </row>
    <row r="719" spans="3:12" ht="15.75" customHeight="1">
      <c r="C719" s="13"/>
      <c r="K719" s="2"/>
      <c r="L719" s="2"/>
    </row>
    <row r="720" spans="3:12" ht="15.75" customHeight="1">
      <c r="C720" s="13"/>
      <c r="K720" s="2"/>
      <c r="L720" s="2"/>
    </row>
    <row r="721" spans="3:12" ht="15.75" customHeight="1">
      <c r="C721" s="13"/>
      <c r="K721" s="2"/>
      <c r="L721" s="2"/>
    </row>
    <row r="722" spans="3:12" ht="15.75" customHeight="1">
      <c r="C722" s="13"/>
      <c r="K722" s="2"/>
      <c r="L722" s="2"/>
    </row>
    <row r="723" spans="3:12" ht="15.75" customHeight="1">
      <c r="C723" s="13"/>
      <c r="K723" s="2"/>
      <c r="L723" s="2"/>
    </row>
    <row r="724" spans="3:12" ht="15.75" customHeight="1">
      <c r="C724" s="13"/>
      <c r="K724" s="2"/>
      <c r="L724" s="2"/>
    </row>
    <row r="725" spans="3:12" ht="15.75" customHeight="1">
      <c r="C725" s="13"/>
      <c r="K725" s="2"/>
      <c r="L725" s="2"/>
    </row>
    <row r="726" spans="3:12" ht="15.75" customHeight="1">
      <c r="C726" s="13"/>
      <c r="K726" s="2"/>
      <c r="L726" s="2"/>
    </row>
    <row r="727" spans="3:12" ht="15.75" customHeight="1">
      <c r="C727" s="13"/>
      <c r="K727" s="2"/>
      <c r="L727" s="2"/>
    </row>
    <row r="728" spans="3:12" ht="15.75" customHeight="1">
      <c r="C728" s="13"/>
      <c r="K728" s="2"/>
      <c r="L728" s="2"/>
    </row>
    <row r="729" spans="3:12" ht="15.75" customHeight="1">
      <c r="C729" s="13"/>
      <c r="K729" s="2"/>
      <c r="L729" s="2"/>
    </row>
    <row r="730" spans="3:12" ht="15.75" customHeight="1">
      <c r="C730" s="13"/>
      <c r="K730" s="2"/>
      <c r="L730" s="2"/>
    </row>
    <row r="731" spans="3:12" ht="15.75" customHeight="1">
      <c r="C731" s="13"/>
      <c r="K731" s="2"/>
      <c r="L731" s="2"/>
    </row>
    <row r="732" spans="3:12" ht="15.75" customHeight="1">
      <c r="C732" s="13"/>
      <c r="K732" s="2"/>
      <c r="L732" s="2"/>
    </row>
    <row r="733" spans="3:12" ht="15.75" customHeight="1">
      <c r="C733" s="13"/>
      <c r="K733" s="2"/>
      <c r="L733" s="2"/>
    </row>
    <row r="734" spans="3:12" ht="15.75" customHeight="1">
      <c r="C734" s="13"/>
      <c r="K734" s="2"/>
      <c r="L734" s="2"/>
    </row>
    <row r="735" spans="3:12" ht="15.75" customHeight="1">
      <c r="C735" s="13"/>
      <c r="K735" s="2"/>
      <c r="L735" s="2"/>
    </row>
    <row r="736" spans="3:12" ht="15.75" customHeight="1">
      <c r="C736" s="13"/>
      <c r="K736" s="2"/>
      <c r="L736" s="2"/>
    </row>
    <row r="737" spans="3:12" ht="15.75" customHeight="1">
      <c r="C737" s="13"/>
      <c r="K737" s="2"/>
      <c r="L737" s="2"/>
    </row>
    <row r="738" spans="3:12" ht="15.75" customHeight="1">
      <c r="C738" s="13"/>
      <c r="K738" s="2"/>
      <c r="L738" s="2"/>
    </row>
    <row r="739" spans="3:12" ht="15.75" customHeight="1">
      <c r="C739" s="13"/>
      <c r="K739" s="2"/>
      <c r="L739" s="2"/>
    </row>
    <row r="740" spans="3:12" ht="15.75" customHeight="1">
      <c r="C740" s="13"/>
      <c r="K740" s="2"/>
      <c r="L740" s="2"/>
    </row>
    <row r="741" spans="3:12" ht="15.75" customHeight="1">
      <c r="C741" s="13"/>
      <c r="K741" s="2"/>
      <c r="L741" s="2"/>
    </row>
    <row r="742" spans="3:12" ht="15.75" customHeight="1">
      <c r="C742" s="13"/>
      <c r="K742" s="2"/>
      <c r="L742" s="2"/>
    </row>
    <row r="743" spans="3:12" ht="15.75" customHeight="1">
      <c r="C743" s="13"/>
      <c r="K743" s="2"/>
      <c r="L743" s="2"/>
    </row>
    <row r="744" spans="3:12" ht="15.75" customHeight="1">
      <c r="C744" s="13"/>
      <c r="K744" s="2"/>
      <c r="L744" s="2"/>
    </row>
    <row r="745" spans="3:12" ht="15.75" customHeight="1">
      <c r="C745" s="13"/>
      <c r="K745" s="2"/>
      <c r="L745" s="2"/>
    </row>
    <row r="746" spans="3:12" ht="15.75" customHeight="1">
      <c r="C746" s="13"/>
      <c r="K746" s="2"/>
      <c r="L746" s="2"/>
    </row>
    <row r="747" spans="3:12" ht="15.75" customHeight="1">
      <c r="C747" s="13"/>
      <c r="K747" s="2"/>
      <c r="L747" s="2"/>
    </row>
    <row r="748" spans="3:12" ht="15.75" customHeight="1">
      <c r="C748" s="13"/>
      <c r="K748" s="2"/>
      <c r="L748" s="2"/>
    </row>
    <row r="749" spans="3:12" ht="15.75" customHeight="1">
      <c r="C749" s="13"/>
      <c r="K749" s="2"/>
      <c r="L749" s="2"/>
    </row>
    <row r="750" spans="3:12" ht="15.75" customHeight="1">
      <c r="C750" s="13"/>
      <c r="K750" s="2"/>
      <c r="L750" s="2"/>
    </row>
    <row r="751" spans="3:12" ht="15.75" customHeight="1">
      <c r="C751" s="13"/>
      <c r="K751" s="2"/>
      <c r="L751" s="2"/>
    </row>
    <row r="752" spans="3:12" ht="15.75" customHeight="1">
      <c r="C752" s="13"/>
      <c r="K752" s="2"/>
      <c r="L752" s="2"/>
    </row>
    <row r="753" spans="3:12" ht="15.75" customHeight="1">
      <c r="C753" s="13"/>
      <c r="K753" s="2"/>
      <c r="L753" s="2"/>
    </row>
    <row r="754" spans="3:12" ht="15.75" customHeight="1">
      <c r="C754" s="13"/>
      <c r="K754" s="2"/>
      <c r="L754" s="2"/>
    </row>
    <row r="755" spans="3:12" ht="15.75" customHeight="1">
      <c r="C755" s="13"/>
      <c r="K755" s="2"/>
      <c r="L755" s="2"/>
    </row>
    <row r="756" spans="3:12" ht="15.75" customHeight="1">
      <c r="C756" s="13"/>
      <c r="K756" s="2"/>
      <c r="L756" s="2"/>
    </row>
    <row r="757" spans="3:12" ht="15.75" customHeight="1">
      <c r="C757" s="13"/>
      <c r="K757" s="2"/>
      <c r="L757" s="2"/>
    </row>
    <row r="758" spans="3:12" ht="15.75" customHeight="1">
      <c r="C758" s="13"/>
      <c r="K758" s="2"/>
      <c r="L758" s="2"/>
    </row>
    <row r="759" spans="3:12" ht="15.75" customHeight="1">
      <c r="C759" s="13"/>
      <c r="K759" s="2"/>
      <c r="L759" s="2"/>
    </row>
    <row r="760" spans="3:12" ht="15.75" customHeight="1">
      <c r="C760" s="13"/>
      <c r="K760" s="2"/>
      <c r="L760" s="2"/>
    </row>
    <row r="761" spans="3:12" ht="15.75" customHeight="1">
      <c r="C761" s="13"/>
      <c r="K761" s="2"/>
      <c r="L761" s="2"/>
    </row>
    <row r="762" spans="3:12" ht="15.75" customHeight="1">
      <c r="C762" s="13"/>
      <c r="K762" s="2"/>
      <c r="L762" s="2"/>
    </row>
    <row r="763" spans="3:12" ht="15.75" customHeight="1">
      <c r="C763" s="13"/>
      <c r="K763" s="2"/>
      <c r="L763" s="2"/>
    </row>
    <row r="764" spans="3:12" ht="15.75" customHeight="1">
      <c r="C764" s="13"/>
      <c r="K764" s="2"/>
      <c r="L764" s="2"/>
    </row>
    <row r="765" spans="3:12" ht="15.75" customHeight="1">
      <c r="C765" s="13"/>
      <c r="K765" s="2"/>
      <c r="L765" s="2"/>
    </row>
    <row r="766" spans="3:12" ht="15.75" customHeight="1">
      <c r="C766" s="13"/>
      <c r="K766" s="2"/>
      <c r="L766" s="2"/>
    </row>
    <row r="767" spans="3:12" ht="15.75" customHeight="1">
      <c r="C767" s="13"/>
      <c r="K767" s="2"/>
      <c r="L767" s="2"/>
    </row>
    <row r="768" spans="3:12" ht="15.75" customHeight="1">
      <c r="C768" s="13"/>
      <c r="K768" s="2"/>
      <c r="L768" s="2"/>
    </row>
    <row r="769" spans="3:3" ht="14.4">
      <c r="C769" s="13"/>
    </row>
    <row r="770" spans="3:3" ht="14.4">
      <c r="C770" s="13"/>
    </row>
  </sheetData>
  <mergeCells count="6">
    <mergeCell ref="C73:N73"/>
    <mergeCell ref="F2:G5"/>
    <mergeCell ref="P4:R4"/>
    <mergeCell ref="P6:R6"/>
    <mergeCell ref="C7:N7"/>
    <mergeCell ref="C42:N42"/>
  </mergeCells>
  <phoneticPr fontId="18" type="noConversion"/>
  <hyperlinks>
    <hyperlink ref="N9" r:id="rId1"/>
    <hyperlink ref="N23" r:id="rId2"/>
    <hyperlink ref="N25" r:id="rId3"/>
    <hyperlink ref="N28:N29" r:id="rId4" display="https://drive.google.com/file/d/1YV_JtyO7cIOxaTAv86F5bUeB59aHMnqo/view?usp=drive_link"/>
    <hyperlink ref="N10:N21" r:id="rId5" display="https://drive.google.com/file/d/10soqlyXgQEDPWWWLKUGGJU4v5nEsQ2Vb/view?usp=drive_link"/>
    <hyperlink ref="N26:N28" r:id="rId6" display="https://drive.google.com/file/d/1YV_JtyO7cIOxaTAv86F5bUeB59aHMnqo/view?usp=drive_link"/>
    <hyperlink ref="N24" r:id="rId7"/>
    <hyperlink ref="N22" r:id="rId8"/>
  </hyperlinks>
  <pageMargins left="0.7" right="0.7" top="0.75" bottom="0.75" header="0" footer="0"/>
  <pageSetup orientation="landscape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R768"/>
  <sheetViews>
    <sheetView topLeftCell="B107" workbookViewId="0">
      <selection activeCell="B130" sqref="B130"/>
    </sheetView>
  </sheetViews>
  <sheetFormatPr baseColWidth="10" defaultColWidth="14.44140625" defaultRowHeight="15" customHeight="1"/>
  <cols>
    <col min="1" max="2" width="3.109375" customWidth="1"/>
    <col min="3" max="3" width="31.88671875" customWidth="1"/>
    <col min="4" max="5" width="4.88671875" customWidth="1"/>
    <col min="6" max="6" width="23.88671875" customWidth="1"/>
    <col min="7" max="7" width="10.6640625" customWidth="1"/>
    <col min="8" max="8" width="84.88671875" customWidth="1"/>
    <col min="9" max="9" width="15.44140625" customWidth="1"/>
    <col min="10" max="10" width="17.88671875" customWidth="1"/>
    <col min="11" max="11" width="20" customWidth="1"/>
    <col min="12" max="12" width="13.88671875" customWidth="1"/>
    <col min="13" max="13" width="18" customWidth="1"/>
    <col min="14" max="14" width="88.6640625" bestFit="1" customWidth="1"/>
    <col min="15" max="15" width="10.6640625" customWidth="1"/>
    <col min="16" max="16" width="11.88671875" bestFit="1" customWidth="1"/>
    <col min="17" max="17" width="22.44140625" customWidth="1"/>
    <col min="18" max="18" width="17.88671875" customWidth="1"/>
    <col min="19" max="26" width="10.6640625" customWidth="1"/>
  </cols>
  <sheetData>
    <row r="1" spans="3:18" ht="14.4">
      <c r="C1" s="13"/>
      <c r="G1" s="1"/>
      <c r="K1" s="2"/>
      <c r="L1" s="2"/>
    </row>
    <row r="2" spans="3:18" ht="14.4">
      <c r="C2" s="13"/>
      <c r="F2" s="167"/>
      <c r="G2" s="168"/>
      <c r="K2" s="2"/>
      <c r="L2" s="2"/>
    </row>
    <row r="3" spans="3:18" ht="14.4">
      <c r="C3" s="13"/>
      <c r="F3" s="169"/>
      <c r="G3" s="170"/>
      <c r="K3" s="2"/>
      <c r="L3" s="2"/>
    </row>
    <row r="4" spans="3:18" ht="14.4">
      <c r="C4" s="13"/>
      <c r="F4" s="169"/>
      <c r="G4" s="170"/>
      <c r="K4" s="2"/>
      <c r="L4" s="2"/>
      <c r="P4" s="173" t="s">
        <v>15</v>
      </c>
      <c r="Q4" s="165"/>
      <c r="R4" s="166"/>
    </row>
    <row r="5" spans="3:18" ht="14.4">
      <c r="C5" s="13"/>
      <c r="F5" s="171"/>
      <c r="G5" s="172"/>
      <c r="K5" s="2"/>
      <c r="L5" s="2"/>
    </row>
    <row r="6" spans="3:18" ht="15.6">
      <c r="C6" s="13"/>
      <c r="G6" s="1"/>
      <c r="K6" s="2"/>
      <c r="L6" s="2"/>
      <c r="P6" s="161" t="s">
        <v>0</v>
      </c>
      <c r="Q6" s="162"/>
      <c r="R6" s="163"/>
    </row>
    <row r="7" spans="3:18" ht="21">
      <c r="C7" s="164" t="s">
        <v>39</v>
      </c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6"/>
      <c r="P7" s="4" t="s">
        <v>1</v>
      </c>
      <c r="Q7" s="4" t="s">
        <v>2</v>
      </c>
      <c r="R7" s="4" t="s">
        <v>3</v>
      </c>
    </row>
    <row r="8" spans="3:18" ht="15.6">
      <c r="C8" s="14" t="s">
        <v>16</v>
      </c>
      <c r="D8" s="15" t="s">
        <v>17</v>
      </c>
      <c r="E8" s="16" t="s">
        <v>18</v>
      </c>
      <c r="F8" s="17" t="s">
        <v>19</v>
      </c>
      <c r="G8" s="17" t="s">
        <v>20</v>
      </c>
      <c r="H8" s="17" t="s">
        <v>21</v>
      </c>
      <c r="I8" s="17" t="s">
        <v>22</v>
      </c>
      <c r="J8" s="17" t="s">
        <v>2</v>
      </c>
      <c r="K8" s="18" t="s">
        <v>23</v>
      </c>
      <c r="L8" s="18" t="s">
        <v>24</v>
      </c>
      <c r="M8" s="17" t="s">
        <v>25</v>
      </c>
      <c r="N8" s="81" t="s">
        <v>26</v>
      </c>
      <c r="P8" s="6" t="s">
        <v>113</v>
      </c>
      <c r="Q8" s="7"/>
      <c r="R8" s="8"/>
    </row>
    <row r="9" spans="3:18" ht="14.4">
      <c r="C9" s="19">
        <v>46023</v>
      </c>
      <c r="D9" s="15" t="s">
        <v>17</v>
      </c>
      <c r="E9" s="20"/>
      <c r="F9" s="21"/>
      <c r="G9" s="21"/>
      <c r="H9" s="70" t="s">
        <v>40</v>
      </c>
      <c r="I9" s="23">
        <v>0</v>
      </c>
      <c r="J9" s="23"/>
      <c r="K9" s="23">
        <v>0</v>
      </c>
      <c r="L9" s="8"/>
      <c r="M9" s="78"/>
      <c r="N9" s="82" t="s">
        <v>115</v>
      </c>
      <c r="P9" s="6" t="s">
        <v>114</v>
      </c>
      <c r="Q9" s="7"/>
      <c r="R9" s="10"/>
    </row>
    <row r="10" spans="3:18" ht="14.4">
      <c r="C10" s="24">
        <v>46024</v>
      </c>
      <c r="D10" s="25"/>
      <c r="E10" s="16" t="s">
        <v>18</v>
      </c>
      <c r="F10" s="21"/>
      <c r="G10" s="26"/>
      <c r="H10" s="70" t="s">
        <v>45</v>
      </c>
      <c r="I10" s="21"/>
      <c r="J10" s="27"/>
      <c r="K10" s="7"/>
      <c r="L10" s="8"/>
      <c r="M10" s="78"/>
      <c r="N10" s="82" t="s">
        <v>115</v>
      </c>
      <c r="P10" s="6" t="s">
        <v>36</v>
      </c>
      <c r="Q10" s="7"/>
      <c r="R10" s="10"/>
    </row>
    <row r="11" spans="3:18" ht="14.4">
      <c r="C11" s="19">
        <v>46025</v>
      </c>
      <c r="D11" s="15" t="s">
        <v>17</v>
      </c>
      <c r="E11" s="20"/>
      <c r="F11" s="21"/>
      <c r="G11" s="21"/>
      <c r="H11" s="70" t="s">
        <v>50</v>
      </c>
      <c r="I11" s="21"/>
      <c r="J11" s="5"/>
      <c r="K11" s="7"/>
      <c r="L11" s="8"/>
      <c r="M11" s="78"/>
      <c r="N11" s="82" t="s">
        <v>116</v>
      </c>
      <c r="P11" s="6" t="s">
        <v>37</v>
      </c>
      <c r="Q11" s="7"/>
      <c r="R11" s="11"/>
    </row>
    <row r="12" spans="3:18" ht="14.4">
      <c r="C12" s="24">
        <v>46026</v>
      </c>
      <c r="D12" s="15" t="s">
        <v>17</v>
      </c>
      <c r="E12" s="25"/>
      <c r="F12" s="21"/>
      <c r="G12" s="21"/>
      <c r="H12" s="71" t="s">
        <v>232</v>
      </c>
      <c r="I12" s="21"/>
      <c r="J12" s="5"/>
      <c r="K12" s="7"/>
      <c r="L12" s="8"/>
      <c r="M12" s="78"/>
      <c r="N12" s="82" t="s">
        <v>116</v>
      </c>
      <c r="P12" s="6" t="s">
        <v>4</v>
      </c>
      <c r="Q12" s="7"/>
      <c r="R12" s="11"/>
    </row>
    <row r="13" spans="3:18" ht="14.4">
      <c r="C13" s="19">
        <v>46027</v>
      </c>
      <c r="D13" s="15" t="s">
        <v>17</v>
      </c>
      <c r="E13" s="20"/>
      <c r="F13" s="21"/>
      <c r="G13" s="21"/>
      <c r="H13" s="71" t="s">
        <v>233</v>
      </c>
      <c r="I13" s="21"/>
      <c r="J13" s="5"/>
      <c r="K13" s="7"/>
      <c r="L13" s="8"/>
      <c r="M13" s="78"/>
      <c r="N13" s="82" t="s">
        <v>117</v>
      </c>
      <c r="P13" s="6" t="s">
        <v>5</v>
      </c>
      <c r="Q13" s="7"/>
      <c r="R13" s="12"/>
    </row>
    <row r="14" spans="3:18" ht="14.4">
      <c r="C14" s="24">
        <v>46028</v>
      </c>
      <c r="D14" s="15" t="s">
        <v>17</v>
      </c>
      <c r="E14" s="25"/>
      <c r="F14" s="21"/>
      <c r="G14" s="21"/>
      <c r="H14" s="71" t="s">
        <v>58</v>
      </c>
      <c r="I14" s="21"/>
      <c r="J14" s="28"/>
      <c r="K14" s="7"/>
      <c r="L14" s="8"/>
      <c r="M14" s="78"/>
      <c r="N14" s="82" t="s">
        <v>117</v>
      </c>
      <c r="P14" s="6" t="s">
        <v>6</v>
      </c>
      <c r="Q14" s="7"/>
      <c r="R14" s="12"/>
    </row>
    <row r="15" spans="3:18" ht="14.4">
      <c r="C15" s="19">
        <v>46029</v>
      </c>
      <c r="D15" s="15" t="s">
        <v>17</v>
      </c>
      <c r="E15" s="20"/>
      <c r="F15" s="21"/>
      <c r="G15" s="21"/>
      <c r="H15" s="71" t="s">
        <v>60</v>
      </c>
      <c r="I15" s="21"/>
      <c r="J15" s="28"/>
      <c r="K15" s="7"/>
      <c r="L15" s="8"/>
      <c r="M15" s="78"/>
      <c r="N15" s="82" t="s">
        <v>118</v>
      </c>
      <c r="P15" s="6" t="s">
        <v>7</v>
      </c>
      <c r="Q15" s="7"/>
      <c r="R15" s="12"/>
    </row>
    <row r="16" spans="3:18" ht="14.4">
      <c r="C16" s="24">
        <v>46030</v>
      </c>
      <c r="D16" s="15" t="s">
        <v>17</v>
      </c>
      <c r="E16" s="25"/>
      <c r="F16" s="21"/>
      <c r="G16" s="21"/>
      <c r="H16" s="71" t="s">
        <v>63</v>
      </c>
      <c r="I16" s="21"/>
      <c r="J16" s="27"/>
      <c r="K16" s="7"/>
      <c r="L16" s="8"/>
      <c r="M16" s="79"/>
      <c r="N16" s="82" t="s">
        <v>118</v>
      </c>
      <c r="P16" s="6" t="s">
        <v>8</v>
      </c>
      <c r="Q16" s="7"/>
      <c r="R16" s="8"/>
    </row>
    <row r="17" spans="3:18" ht="14.4">
      <c r="C17" s="19">
        <v>46031</v>
      </c>
      <c r="D17" s="20"/>
      <c r="E17" s="16" t="s">
        <v>18</v>
      </c>
      <c r="F17" s="21"/>
      <c r="G17" s="21"/>
      <c r="H17" s="71" t="s">
        <v>67</v>
      </c>
      <c r="I17" s="21"/>
      <c r="J17" s="28"/>
      <c r="K17" s="7"/>
      <c r="L17" s="8"/>
      <c r="M17" s="78"/>
      <c r="N17" s="82" t="s">
        <v>119</v>
      </c>
      <c r="P17" s="6" t="s">
        <v>9</v>
      </c>
      <c r="Q17" s="7"/>
      <c r="R17" s="10"/>
    </row>
    <row r="18" spans="3:18" ht="14.4">
      <c r="C18" s="24">
        <v>46032</v>
      </c>
      <c r="D18" s="25"/>
      <c r="E18" s="16" t="s">
        <v>18</v>
      </c>
      <c r="F18" s="21"/>
      <c r="G18" s="21"/>
      <c r="H18" s="71" t="s">
        <v>71</v>
      </c>
      <c r="I18" s="21"/>
      <c r="J18" s="27"/>
      <c r="K18" s="7"/>
      <c r="L18" s="8"/>
      <c r="M18" s="78"/>
      <c r="N18" s="82" t="s">
        <v>119</v>
      </c>
      <c r="P18" s="6" t="s">
        <v>10</v>
      </c>
      <c r="Q18" s="7"/>
      <c r="R18" s="10"/>
    </row>
    <row r="19" spans="3:18" ht="14.4">
      <c r="C19" s="19">
        <v>46033</v>
      </c>
      <c r="D19" s="20"/>
      <c r="E19" s="16" t="s">
        <v>18</v>
      </c>
      <c r="F19" s="21"/>
      <c r="G19" s="21"/>
      <c r="H19" s="71" t="s">
        <v>73</v>
      </c>
      <c r="I19" s="21"/>
      <c r="J19" s="28"/>
      <c r="K19" s="7"/>
      <c r="L19" s="8"/>
      <c r="M19" s="78"/>
      <c r="N19" s="82" t="s">
        <v>120</v>
      </c>
      <c r="P19" s="6" t="s">
        <v>11</v>
      </c>
      <c r="Q19" s="7"/>
      <c r="R19" s="11"/>
    </row>
    <row r="20" spans="3:18" ht="14.4">
      <c r="C20" s="24">
        <v>46034</v>
      </c>
      <c r="D20" s="25"/>
      <c r="E20" s="16" t="s">
        <v>18</v>
      </c>
      <c r="F20" s="21"/>
      <c r="G20" s="21"/>
      <c r="H20" s="71" t="s">
        <v>77</v>
      </c>
      <c r="I20" s="21"/>
      <c r="J20" s="28"/>
      <c r="K20" s="7"/>
      <c r="L20" s="8"/>
      <c r="M20" s="78"/>
      <c r="N20" s="82" t="s">
        <v>120</v>
      </c>
    </row>
    <row r="21" spans="3:18" ht="15.75" customHeight="1">
      <c r="C21" s="19">
        <v>46035</v>
      </c>
      <c r="D21" s="20"/>
      <c r="E21" s="16" t="s">
        <v>18</v>
      </c>
      <c r="F21" s="21"/>
      <c r="G21" s="21"/>
      <c r="H21" s="71" t="s">
        <v>80</v>
      </c>
      <c r="I21" s="21"/>
      <c r="J21" s="28"/>
      <c r="K21" s="7"/>
      <c r="L21" s="8"/>
      <c r="M21" s="78"/>
      <c r="N21" s="82" t="s">
        <v>121</v>
      </c>
    </row>
    <row r="22" spans="3:18" ht="15.75" customHeight="1">
      <c r="C22" s="24">
        <v>46036</v>
      </c>
      <c r="D22" s="15" t="s">
        <v>17</v>
      </c>
      <c r="E22" s="25"/>
      <c r="F22" s="21"/>
      <c r="G22" s="21"/>
      <c r="H22" s="71" t="s">
        <v>84</v>
      </c>
      <c r="I22" s="21"/>
      <c r="J22" s="28"/>
      <c r="K22" s="7"/>
      <c r="L22" s="8"/>
      <c r="M22" s="78"/>
      <c r="N22" s="82" t="s">
        <v>121</v>
      </c>
    </row>
    <row r="23" spans="3:18" ht="15.75" customHeight="1">
      <c r="C23" s="19">
        <v>46037</v>
      </c>
      <c r="D23" s="20"/>
      <c r="F23" s="21"/>
      <c r="G23" s="21"/>
      <c r="H23" s="71" t="s">
        <v>87</v>
      </c>
      <c r="I23" s="21"/>
      <c r="J23" s="28"/>
      <c r="K23" s="7"/>
      <c r="L23" s="8"/>
      <c r="M23" s="78"/>
      <c r="N23" s="82" t="s">
        <v>122</v>
      </c>
    </row>
    <row r="24" spans="3:18" ht="15.75" customHeight="1">
      <c r="C24" s="24">
        <v>46038</v>
      </c>
      <c r="E24" s="25"/>
      <c r="F24" s="21"/>
      <c r="G24" s="21"/>
      <c r="H24" s="72" t="s">
        <v>91</v>
      </c>
      <c r="I24" s="21"/>
      <c r="J24" s="28"/>
      <c r="K24" s="7"/>
      <c r="L24" s="8"/>
      <c r="M24" s="78"/>
      <c r="N24" s="82" t="s">
        <v>122</v>
      </c>
    </row>
    <row r="25" spans="3:18" ht="15.75" customHeight="1">
      <c r="C25" s="19">
        <v>46039</v>
      </c>
      <c r="D25" s="20"/>
      <c r="E25" s="16" t="s">
        <v>18</v>
      </c>
      <c r="F25" s="21"/>
      <c r="G25" s="21"/>
      <c r="H25" s="72" t="s">
        <v>94</v>
      </c>
      <c r="I25" s="21"/>
      <c r="J25" s="28"/>
      <c r="K25" s="7"/>
      <c r="L25" s="8"/>
      <c r="M25" s="78"/>
      <c r="N25" s="82" t="s">
        <v>123</v>
      </c>
    </row>
    <row r="26" spans="3:18" ht="15.75" customHeight="1">
      <c r="C26" s="24">
        <v>46040</v>
      </c>
      <c r="D26" s="15" t="s">
        <v>17</v>
      </c>
      <c r="E26" s="25"/>
      <c r="F26" s="21"/>
      <c r="G26" s="21"/>
      <c r="H26" s="72" t="s">
        <v>96</v>
      </c>
      <c r="I26" s="21"/>
      <c r="J26" s="27"/>
      <c r="K26" s="7"/>
      <c r="L26" s="8"/>
      <c r="M26" s="78"/>
      <c r="N26" s="82" t="s">
        <v>123</v>
      </c>
    </row>
    <row r="27" spans="3:18" ht="15.75" customHeight="1">
      <c r="C27" s="19">
        <v>46041</v>
      </c>
      <c r="D27" s="15" t="s">
        <v>17</v>
      </c>
      <c r="E27" s="20"/>
      <c r="F27" s="21"/>
      <c r="G27" s="21"/>
      <c r="H27" s="72" t="s">
        <v>101</v>
      </c>
      <c r="I27" s="21"/>
      <c r="J27" s="28"/>
      <c r="K27" s="7"/>
      <c r="L27" s="8"/>
      <c r="M27" s="78"/>
      <c r="N27" s="82" t="s">
        <v>124</v>
      </c>
    </row>
    <row r="28" spans="3:18" ht="15.75" customHeight="1">
      <c r="C28" s="24">
        <v>46042</v>
      </c>
      <c r="D28" s="15" t="s">
        <v>17</v>
      </c>
      <c r="E28" s="25"/>
      <c r="F28" s="21"/>
      <c r="G28" s="21"/>
      <c r="H28" s="72" t="s">
        <v>103</v>
      </c>
      <c r="I28" s="21"/>
      <c r="J28" s="28"/>
      <c r="K28" s="7"/>
      <c r="L28" s="8"/>
      <c r="M28" s="78"/>
      <c r="N28" s="82" t="s">
        <v>124</v>
      </c>
    </row>
    <row r="29" spans="3:18" ht="15.75" customHeight="1">
      <c r="C29" s="19">
        <v>46043</v>
      </c>
      <c r="D29" s="15" t="s">
        <v>17</v>
      </c>
      <c r="E29" s="20"/>
      <c r="F29" s="21"/>
      <c r="G29" s="21"/>
      <c r="H29" s="72" t="s">
        <v>107</v>
      </c>
      <c r="I29" s="21"/>
      <c r="J29" s="28"/>
      <c r="K29" s="7"/>
      <c r="L29" s="8"/>
      <c r="M29" s="78"/>
      <c r="N29" s="82" t="s">
        <v>125</v>
      </c>
    </row>
    <row r="30" spans="3:18" ht="15.75" customHeight="1">
      <c r="C30" s="24">
        <v>46044</v>
      </c>
      <c r="E30" s="16" t="s">
        <v>18</v>
      </c>
      <c r="F30" s="21"/>
      <c r="G30" s="21"/>
      <c r="H30" s="72" t="s">
        <v>134</v>
      </c>
      <c r="I30" s="21"/>
      <c r="J30" s="28"/>
      <c r="K30" s="7"/>
      <c r="L30" s="8"/>
      <c r="M30" s="78"/>
      <c r="N30" s="82"/>
    </row>
    <row r="31" spans="3:18" ht="15.75" customHeight="1">
      <c r="C31" s="19">
        <v>46045</v>
      </c>
      <c r="D31" s="20"/>
      <c r="E31" s="15" t="s">
        <v>17</v>
      </c>
      <c r="F31" s="21"/>
      <c r="G31" s="21"/>
      <c r="H31" s="72" t="s">
        <v>128</v>
      </c>
      <c r="I31" s="21"/>
      <c r="J31" s="27"/>
      <c r="K31" s="7"/>
      <c r="L31" s="8"/>
      <c r="M31" s="78"/>
      <c r="N31" s="82"/>
    </row>
    <row r="32" spans="3:18" ht="15.75" customHeight="1">
      <c r="C32" s="24">
        <v>46046</v>
      </c>
      <c r="D32" s="25"/>
      <c r="E32" s="15" t="s">
        <v>17</v>
      </c>
      <c r="F32" s="21"/>
      <c r="G32" s="21"/>
      <c r="H32" s="72" t="s">
        <v>135</v>
      </c>
      <c r="I32" s="21"/>
      <c r="J32" s="28"/>
      <c r="K32" s="7"/>
      <c r="L32" s="8"/>
      <c r="M32" s="78"/>
      <c r="N32" s="82"/>
    </row>
    <row r="33" spans="3:18" ht="15.75" customHeight="1">
      <c r="C33" s="19">
        <v>46047</v>
      </c>
      <c r="D33" s="20"/>
      <c r="E33" s="15" t="s">
        <v>17</v>
      </c>
      <c r="F33" s="21"/>
      <c r="G33" s="21"/>
      <c r="H33" s="72" t="s">
        <v>136</v>
      </c>
      <c r="I33" s="21"/>
      <c r="J33" s="28"/>
      <c r="K33" s="7"/>
      <c r="L33" s="8"/>
      <c r="M33" s="78"/>
      <c r="N33" s="82"/>
    </row>
    <row r="34" spans="3:18" ht="15.75" customHeight="1">
      <c r="C34" s="24">
        <v>46048</v>
      </c>
      <c r="D34" s="25"/>
      <c r="E34" s="16" t="s">
        <v>18</v>
      </c>
      <c r="F34" s="21"/>
      <c r="G34" s="21"/>
      <c r="H34" s="83" t="s">
        <v>140</v>
      </c>
      <c r="I34" s="21"/>
      <c r="J34" s="28"/>
      <c r="K34" s="7"/>
      <c r="L34" s="8"/>
      <c r="M34" s="78"/>
      <c r="N34" s="82"/>
    </row>
    <row r="35" spans="3:18" ht="15.75" customHeight="1">
      <c r="C35" s="19">
        <v>46049</v>
      </c>
      <c r="D35" s="20"/>
      <c r="E35" s="16" t="s">
        <v>18</v>
      </c>
      <c r="F35" s="21"/>
      <c r="G35" s="21"/>
      <c r="H35" s="83" t="s">
        <v>143</v>
      </c>
      <c r="I35" s="21"/>
      <c r="J35" s="28"/>
      <c r="K35" s="7"/>
      <c r="L35" s="8"/>
      <c r="M35" s="78"/>
      <c r="N35" s="82"/>
    </row>
    <row r="36" spans="3:18" ht="15.75" customHeight="1">
      <c r="C36" s="24">
        <v>46050</v>
      </c>
      <c r="D36" s="25"/>
      <c r="E36" s="16" t="s">
        <v>18</v>
      </c>
      <c r="F36" s="21"/>
      <c r="G36" s="21"/>
      <c r="H36" s="83" t="s">
        <v>145</v>
      </c>
      <c r="I36" s="21"/>
      <c r="J36" s="28"/>
      <c r="K36" s="7"/>
      <c r="L36" s="8"/>
      <c r="M36" s="78"/>
      <c r="N36" s="82"/>
    </row>
    <row r="37" spans="3:18" ht="15.75" customHeight="1">
      <c r="C37" s="19">
        <v>46051</v>
      </c>
      <c r="D37" s="20"/>
      <c r="E37" s="15" t="s">
        <v>17</v>
      </c>
      <c r="F37" s="21"/>
      <c r="G37" s="21"/>
      <c r="H37" s="72" t="s">
        <v>147</v>
      </c>
      <c r="I37" s="21"/>
      <c r="J37" s="28"/>
      <c r="K37" s="7"/>
      <c r="L37" s="8"/>
      <c r="M37" s="78"/>
      <c r="N37" s="82"/>
    </row>
    <row r="38" spans="3:18" ht="15.75" customHeight="1">
      <c r="C38" s="24">
        <v>46052</v>
      </c>
      <c r="D38" s="25"/>
      <c r="E38" s="15" t="s">
        <v>17</v>
      </c>
      <c r="F38" s="21"/>
      <c r="G38" s="78"/>
      <c r="H38" s="103" t="s">
        <v>262</v>
      </c>
      <c r="I38" s="55"/>
      <c r="J38" s="28"/>
      <c r="K38" s="7"/>
      <c r="L38" s="8"/>
      <c r="M38" s="78"/>
      <c r="N38" s="82"/>
    </row>
    <row r="39" spans="3:18" ht="15.75" customHeight="1">
      <c r="C39" s="19">
        <v>46053</v>
      </c>
      <c r="D39" s="20"/>
      <c r="E39" s="15" t="s">
        <v>17</v>
      </c>
      <c r="F39" s="21"/>
      <c r="G39" s="30"/>
      <c r="H39" s="103" t="s">
        <v>266</v>
      </c>
      <c r="I39" s="30"/>
      <c r="J39" s="31"/>
      <c r="K39" s="32"/>
      <c r="L39" s="33"/>
      <c r="M39" s="80"/>
      <c r="N39" s="82"/>
    </row>
    <row r="40" spans="3:18" ht="15.75" customHeight="1">
      <c r="C40" s="13"/>
      <c r="K40" s="2"/>
      <c r="L40" s="2"/>
    </row>
    <row r="41" spans="3:18" ht="21">
      <c r="C41" s="164" t="s">
        <v>408</v>
      </c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6"/>
      <c r="P41" s="4" t="s">
        <v>1</v>
      </c>
      <c r="Q41" s="4" t="s">
        <v>2</v>
      </c>
      <c r="R41" s="4" t="s">
        <v>3</v>
      </c>
    </row>
    <row r="42" spans="3:18" ht="15.6">
      <c r="C42" s="14" t="s">
        <v>16</v>
      </c>
      <c r="D42" s="15" t="s">
        <v>17</v>
      </c>
      <c r="E42" s="16" t="s">
        <v>18</v>
      </c>
      <c r="F42" s="17" t="s">
        <v>19</v>
      </c>
      <c r="G42" s="17" t="s">
        <v>20</v>
      </c>
      <c r="H42" s="17" t="s">
        <v>21</v>
      </c>
      <c r="I42" s="17" t="s">
        <v>22</v>
      </c>
      <c r="J42" s="17" t="s">
        <v>2</v>
      </c>
      <c r="K42" s="18" t="s">
        <v>23</v>
      </c>
      <c r="L42" s="18" t="s">
        <v>24</v>
      </c>
      <c r="M42" s="17" t="s">
        <v>25</v>
      </c>
      <c r="N42" s="81" t="s">
        <v>26</v>
      </c>
      <c r="P42" s="6" t="s">
        <v>113</v>
      </c>
      <c r="Q42" s="7"/>
      <c r="R42" s="8"/>
    </row>
    <row r="43" spans="3:18" ht="14.4">
      <c r="C43" s="105">
        <v>46054</v>
      </c>
      <c r="D43" s="84" t="s">
        <v>17</v>
      </c>
      <c r="E43" s="109"/>
      <c r="F43" s="55"/>
      <c r="G43" s="21"/>
      <c r="H43" s="103" t="s">
        <v>279</v>
      </c>
      <c r="I43" s="23"/>
      <c r="J43" s="23"/>
      <c r="K43" s="23"/>
      <c r="L43" s="8"/>
      <c r="M43" s="78"/>
      <c r="N43" s="82"/>
      <c r="P43" s="6"/>
      <c r="Q43" s="7"/>
      <c r="R43" s="10"/>
    </row>
    <row r="44" spans="3:18" ht="14.4">
      <c r="C44" s="105">
        <v>46055</v>
      </c>
      <c r="D44" s="114"/>
      <c r="E44" s="76" t="s">
        <v>18</v>
      </c>
      <c r="F44" s="55"/>
      <c r="G44" s="26"/>
      <c r="H44" s="70" t="s">
        <v>280</v>
      </c>
      <c r="I44" s="21"/>
      <c r="J44" s="27"/>
      <c r="K44" s="7"/>
      <c r="L44" s="8"/>
      <c r="M44" s="78"/>
      <c r="N44" s="82"/>
      <c r="P44" s="6"/>
      <c r="Q44" s="7"/>
      <c r="R44" s="10"/>
    </row>
    <row r="45" spans="3:18" ht="14.4">
      <c r="C45" s="105">
        <v>46056</v>
      </c>
      <c r="D45" s="84" t="s">
        <v>17</v>
      </c>
      <c r="E45" s="109"/>
      <c r="F45" s="55"/>
      <c r="G45" s="21"/>
      <c r="H45" s="70" t="s">
        <v>281</v>
      </c>
      <c r="I45" s="21"/>
      <c r="J45" s="5"/>
      <c r="K45" s="7"/>
      <c r="L45" s="8"/>
      <c r="M45" s="78"/>
      <c r="N45" s="82"/>
      <c r="P45" s="6"/>
      <c r="Q45" s="7"/>
      <c r="R45" s="11"/>
    </row>
    <row r="46" spans="3:18" ht="14.4">
      <c r="C46" s="105">
        <v>46057</v>
      </c>
      <c r="D46" s="84"/>
      <c r="E46" s="76" t="s">
        <v>18</v>
      </c>
      <c r="F46" s="55"/>
      <c r="G46" s="21"/>
      <c r="H46" s="70" t="s">
        <v>282</v>
      </c>
      <c r="I46" s="21"/>
      <c r="J46" s="5"/>
      <c r="K46" s="7"/>
      <c r="L46" s="8"/>
      <c r="M46" s="78"/>
      <c r="N46" s="82"/>
      <c r="P46" s="6"/>
      <c r="Q46" s="7"/>
      <c r="R46" s="11"/>
    </row>
    <row r="47" spans="3:18" ht="14.4">
      <c r="C47" s="105">
        <v>46058</v>
      </c>
      <c r="D47" s="84" t="s">
        <v>17</v>
      </c>
      <c r="E47" s="109"/>
      <c r="F47" s="55"/>
      <c r="G47" s="21"/>
      <c r="H47" s="70" t="s">
        <v>283</v>
      </c>
      <c r="I47" s="21"/>
      <c r="J47" s="5"/>
      <c r="K47" s="7"/>
      <c r="L47" s="8"/>
      <c r="M47" s="78"/>
      <c r="N47" s="82"/>
      <c r="P47" s="6"/>
      <c r="Q47" s="7"/>
      <c r="R47" s="12"/>
    </row>
    <row r="48" spans="3:18" ht="14.4">
      <c r="C48" s="105">
        <v>46059</v>
      </c>
      <c r="D48" s="84"/>
      <c r="E48" s="76" t="s">
        <v>18</v>
      </c>
      <c r="F48" s="55"/>
      <c r="G48" s="21"/>
      <c r="H48" s="70" t="s">
        <v>284</v>
      </c>
      <c r="I48" s="21"/>
      <c r="J48" s="28"/>
      <c r="K48" s="7"/>
      <c r="L48" s="8"/>
      <c r="M48" s="78"/>
      <c r="N48" s="82"/>
      <c r="P48" s="6"/>
      <c r="Q48" s="7"/>
      <c r="R48" s="12"/>
    </row>
    <row r="49" spans="3:18" ht="14.4">
      <c r="C49" s="105">
        <v>46060</v>
      </c>
      <c r="D49" s="84"/>
      <c r="E49" s="76" t="s">
        <v>18</v>
      </c>
      <c r="F49" s="55"/>
      <c r="G49" s="21"/>
      <c r="H49" s="70" t="s">
        <v>285</v>
      </c>
      <c r="I49" s="21"/>
      <c r="J49" s="28"/>
      <c r="K49" s="7"/>
      <c r="L49" s="8"/>
      <c r="M49" s="78"/>
      <c r="N49" s="82"/>
      <c r="P49" s="6"/>
      <c r="Q49" s="7"/>
      <c r="R49" s="12"/>
    </row>
    <row r="50" spans="3:18" ht="14.4">
      <c r="C50" s="105">
        <v>46061</v>
      </c>
      <c r="D50" s="84"/>
      <c r="E50" s="76" t="s">
        <v>18</v>
      </c>
      <c r="F50" s="55"/>
      <c r="G50" s="21"/>
      <c r="H50" s="70" t="s">
        <v>286</v>
      </c>
      <c r="I50" s="21"/>
      <c r="J50" s="27"/>
      <c r="K50" s="7"/>
      <c r="L50" s="8"/>
      <c r="M50" s="79"/>
      <c r="N50" s="82"/>
      <c r="P50" s="6"/>
      <c r="Q50" s="7"/>
      <c r="R50" s="8"/>
    </row>
    <row r="51" spans="3:18" ht="14.4">
      <c r="C51" s="105">
        <v>46062</v>
      </c>
      <c r="D51" s="84" t="s">
        <v>17</v>
      </c>
      <c r="E51" s="76"/>
      <c r="F51" s="55"/>
      <c r="G51" s="21"/>
      <c r="H51" s="70" t="s">
        <v>287</v>
      </c>
      <c r="I51" s="21"/>
      <c r="J51" s="28"/>
      <c r="K51" s="7"/>
      <c r="L51" s="8"/>
      <c r="M51" s="78"/>
      <c r="N51" s="82"/>
      <c r="P51" s="6"/>
      <c r="Q51" s="7"/>
      <c r="R51" s="10"/>
    </row>
    <row r="52" spans="3:18" ht="14.4">
      <c r="C52" s="105">
        <v>46063</v>
      </c>
      <c r="D52" s="84" t="s">
        <v>17</v>
      </c>
      <c r="E52" s="76"/>
      <c r="F52" s="55"/>
      <c r="G52" s="21"/>
      <c r="H52" s="71" t="s">
        <v>288</v>
      </c>
      <c r="I52" s="21"/>
      <c r="J52" s="27"/>
      <c r="K52" s="7"/>
      <c r="L52" s="8"/>
      <c r="M52" s="78"/>
      <c r="N52" s="82"/>
      <c r="P52" s="6"/>
      <c r="Q52" s="7"/>
      <c r="R52" s="10"/>
    </row>
    <row r="53" spans="3:18" ht="14.4">
      <c r="C53" s="105">
        <v>46064</v>
      </c>
      <c r="D53" s="75"/>
      <c r="E53" s="76" t="s">
        <v>18</v>
      </c>
      <c r="F53" s="55"/>
      <c r="G53" s="21"/>
      <c r="H53" s="70" t="s">
        <v>320</v>
      </c>
      <c r="I53" s="21"/>
      <c r="J53" s="28"/>
      <c r="K53" s="7"/>
      <c r="L53" s="8"/>
      <c r="M53" s="78"/>
      <c r="N53" s="82"/>
      <c r="P53" s="6"/>
      <c r="Q53" s="7"/>
      <c r="R53" s="11"/>
    </row>
    <row r="54" spans="3:18" ht="14.4">
      <c r="C54" s="105">
        <v>46065</v>
      </c>
      <c r="D54" s="114"/>
      <c r="E54" s="76" t="s">
        <v>18</v>
      </c>
      <c r="F54" s="55"/>
      <c r="G54" s="21"/>
      <c r="H54" s="70" t="s">
        <v>331</v>
      </c>
      <c r="I54" s="21"/>
      <c r="J54" s="28"/>
      <c r="K54" s="7"/>
      <c r="L54" s="8"/>
      <c r="M54" s="78"/>
      <c r="N54" s="82"/>
    </row>
    <row r="55" spans="3:18" ht="15.75" customHeight="1">
      <c r="C55" s="105">
        <v>46066</v>
      </c>
      <c r="D55" s="75"/>
      <c r="E55" s="76" t="s">
        <v>18</v>
      </c>
      <c r="F55" s="62"/>
      <c r="G55" s="110"/>
      <c r="H55" s="111" t="s">
        <v>347</v>
      </c>
      <c r="I55" s="21"/>
      <c r="J55" s="28"/>
      <c r="K55" s="7"/>
      <c r="L55" s="8"/>
      <c r="M55" s="78"/>
      <c r="N55" s="82"/>
    </row>
    <row r="56" spans="3:18" ht="15.75" customHeight="1">
      <c r="C56" s="105">
        <v>46067</v>
      </c>
      <c r="D56" s="84"/>
      <c r="E56" s="76" t="s">
        <v>18</v>
      </c>
      <c r="F56" s="55"/>
      <c r="G56" s="21"/>
      <c r="H56" s="70" t="s">
        <v>336</v>
      </c>
      <c r="I56" s="21"/>
      <c r="J56" s="28"/>
      <c r="K56" s="7"/>
      <c r="L56" s="8"/>
      <c r="M56" s="78"/>
      <c r="N56" s="82"/>
    </row>
    <row r="57" spans="3:18" ht="15.75" customHeight="1">
      <c r="C57" s="105">
        <v>46068</v>
      </c>
      <c r="D57" s="75"/>
      <c r="E57" s="76" t="s">
        <v>17</v>
      </c>
      <c r="F57" s="55"/>
      <c r="G57" s="21"/>
      <c r="H57" s="71" t="s">
        <v>341</v>
      </c>
      <c r="I57" s="21"/>
      <c r="J57" s="28"/>
      <c r="K57" s="7"/>
      <c r="L57" s="8"/>
      <c r="M57" s="78"/>
      <c r="N57" s="82"/>
    </row>
    <row r="58" spans="3:18" ht="15.75" customHeight="1">
      <c r="C58" s="105">
        <v>46069</v>
      </c>
      <c r="D58" s="62"/>
      <c r="E58" s="76" t="s">
        <v>18</v>
      </c>
      <c r="F58" s="55"/>
      <c r="G58" s="21"/>
      <c r="H58" s="70" t="s">
        <v>349</v>
      </c>
      <c r="I58" s="21"/>
      <c r="J58" s="28"/>
      <c r="K58" s="7"/>
      <c r="L58" s="8"/>
      <c r="M58" s="78"/>
      <c r="N58" s="82"/>
    </row>
    <row r="59" spans="3:18" ht="15.75" customHeight="1">
      <c r="C59" s="105">
        <v>46070</v>
      </c>
      <c r="D59" s="75"/>
      <c r="E59" s="76" t="s">
        <v>18</v>
      </c>
      <c r="F59" s="55"/>
      <c r="G59" s="21"/>
      <c r="H59" s="70" t="s">
        <v>353</v>
      </c>
      <c r="I59" s="21"/>
      <c r="J59" s="28"/>
      <c r="K59" s="7"/>
      <c r="L59" s="8"/>
      <c r="M59" s="78"/>
      <c r="N59" s="82"/>
    </row>
    <row r="60" spans="3:18" ht="15.75" customHeight="1">
      <c r="C60" s="105">
        <v>46071</v>
      </c>
      <c r="D60" s="84"/>
      <c r="E60" s="76" t="s">
        <v>18</v>
      </c>
      <c r="F60" s="55"/>
      <c r="G60" s="21"/>
      <c r="H60" s="70" t="s">
        <v>358</v>
      </c>
      <c r="I60" s="21"/>
      <c r="J60" s="27"/>
      <c r="K60" s="7"/>
      <c r="L60" s="8"/>
      <c r="M60" s="78"/>
      <c r="N60" s="82"/>
    </row>
    <row r="61" spans="3:18" ht="15.75" customHeight="1">
      <c r="C61" s="105">
        <v>46072</v>
      </c>
      <c r="D61" s="84"/>
      <c r="E61" s="76" t="s">
        <v>18</v>
      </c>
      <c r="F61" s="55"/>
      <c r="G61" s="21"/>
      <c r="H61" s="70" t="s">
        <v>359</v>
      </c>
      <c r="I61" s="21"/>
      <c r="J61" s="28"/>
      <c r="K61" s="7"/>
      <c r="L61" s="8"/>
      <c r="M61" s="78"/>
      <c r="N61" s="82"/>
    </row>
    <row r="62" spans="3:18" ht="15.75" customHeight="1">
      <c r="C62" s="105">
        <v>46073</v>
      </c>
      <c r="D62" s="84"/>
      <c r="E62" s="76" t="s">
        <v>18</v>
      </c>
      <c r="F62" s="55"/>
      <c r="G62" s="21"/>
      <c r="H62" s="70" t="s">
        <v>368</v>
      </c>
      <c r="I62" s="21"/>
      <c r="J62" s="28"/>
      <c r="K62" s="7"/>
      <c r="L62" s="8"/>
      <c r="M62" s="78"/>
      <c r="N62" s="82"/>
    </row>
    <row r="63" spans="3:18" ht="15.75" customHeight="1">
      <c r="C63" s="105">
        <v>46074</v>
      </c>
      <c r="D63" s="84"/>
      <c r="E63" s="76" t="s">
        <v>18</v>
      </c>
      <c r="F63" s="55"/>
      <c r="G63" s="21"/>
      <c r="H63" s="70" t="s">
        <v>375</v>
      </c>
      <c r="I63" s="21"/>
      <c r="J63" s="28"/>
      <c r="K63" s="7"/>
      <c r="L63" s="8"/>
      <c r="M63" s="78"/>
      <c r="N63" s="82"/>
    </row>
    <row r="64" spans="3:18" ht="15.75" customHeight="1">
      <c r="C64" s="105">
        <v>46075</v>
      </c>
      <c r="D64" s="62"/>
      <c r="E64" s="76" t="s">
        <v>17</v>
      </c>
      <c r="F64" s="55"/>
      <c r="G64" s="21"/>
      <c r="H64" s="70" t="s">
        <v>377</v>
      </c>
      <c r="I64" s="21"/>
      <c r="J64" s="28"/>
      <c r="K64" s="7"/>
      <c r="L64" s="8"/>
      <c r="M64" s="78"/>
      <c r="N64" s="82"/>
    </row>
    <row r="65" spans="3:18" ht="15.75" customHeight="1">
      <c r="C65" s="105">
        <v>46076</v>
      </c>
      <c r="D65" s="75"/>
      <c r="E65" s="76" t="s">
        <v>17</v>
      </c>
      <c r="F65" s="55"/>
      <c r="G65" s="21"/>
      <c r="H65" s="70" t="s">
        <v>388</v>
      </c>
      <c r="I65" s="21"/>
      <c r="J65" s="27"/>
      <c r="K65" s="7"/>
      <c r="L65" s="8"/>
      <c r="M65" s="78"/>
      <c r="N65" s="82"/>
    </row>
    <row r="66" spans="3:18" ht="15.75" customHeight="1">
      <c r="C66" s="105">
        <v>46077</v>
      </c>
      <c r="D66" s="114"/>
      <c r="E66" s="76" t="s">
        <v>17</v>
      </c>
      <c r="F66" s="55"/>
      <c r="G66" s="21"/>
      <c r="H66" s="70" t="s">
        <v>381</v>
      </c>
      <c r="I66" s="21"/>
      <c r="J66" s="28"/>
      <c r="K66" s="7"/>
      <c r="L66" s="8"/>
      <c r="M66" s="78"/>
      <c r="N66" s="82"/>
    </row>
    <row r="67" spans="3:18" ht="15.75" customHeight="1">
      <c r="C67" s="105">
        <v>46078</v>
      </c>
      <c r="D67" s="75"/>
      <c r="E67" s="76" t="s">
        <v>17</v>
      </c>
      <c r="F67" s="55"/>
      <c r="G67" s="21"/>
      <c r="H67" s="70" t="s">
        <v>387</v>
      </c>
      <c r="I67" s="21"/>
      <c r="J67" s="28"/>
      <c r="K67" s="7"/>
      <c r="L67" s="8"/>
      <c r="M67" s="78"/>
      <c r="N67" s="82"/>
    </row>
    <row r="68" spans="3:18" ht="15.75" customHeight="1">
      <c r="C68" s="105">
        <v>46079</v>
      </c>
      <c r="D68" s="114"/>
      <c r="E68" s="76" t="s">
        <v>18</v>
      </c>
      <c r="F68" s="55"/>
      <c r="G68" s="21"/>
      <c r="H68" s="70" t="s">
        <v>407</v>
      </c>
      <c r="I68" s="21"/>
      <c r="J68" s="28"/>
      <c r="K68" s="7"/>
      <c r="L68" s="8"/>
      <c r="M68" s="78"/>
      <c r="N68" s="82"/>
    </row>
    <row r="69" spans="3:18" ht="15.75" customHeight="1">
      <c r="C69" s="105">
        <v>46080</v>
      </c>
      <c r="D69" s="75"/>
      <c r="E69" s="76" t="s">
        <v>18</v>
      </c>
      <c r="F69" s="55"/>
      <c r="G69" s="21"/>
      <c r="H69" s="70" t="s">
        <v>406</v>
      </c>
      <c r="I69" s="21"/>
      <c r="J69" s="28"/>
      <c r="K69" s="7"/>
      <c r="L69" s="8"/>
      <c r="M69" s="78"/>
      <c r="N69" s="82"/>
    </row>
    <row r="70" spans="3:18" ht="15.75" customHeight="1">
      <c r="C70" s="105">
        <v>46081</v>
      </c>
      <c r="D70" s="114"/>
      <c r="E70" s="76" t="s">
        <v>17</v>
      </c>
      <c r="F70" s="55"/>
      <c r="G70" s="21"/>
      <c r="H70" s="70" t="s">
        <v>405</v>
      </c>
      <c r="I70" s="21"/>
      <c r="J70" s="28"/>
      <c r="K70" s="7"/>
      <c r="L70" s="8"/>
      <c r="M70" s="78"/>
      <c r="N70" s="82"/>
    </row>
    <row r="71" spans="3:18" ht="15.75" customHeight="1">
      <c r="C71" s="13"/>
      <c r="K71" s="2"/>
      <c r="L71" s="2"/>
    </row>
    <row r="72" spans="3:18" ht="15.75" customHeight="1">
      <c r="C72" s="13"/>
      <c r="K72" s="2"/>
      <c r="L72" s="2"/>
    </row>
    <row r="73" spans="3:18" ht="21">
      <c r="C73" s="164" t="s">
        <v>409</v>
      </c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6"/>
      <c r="P73" s="4" t="s">
        <v>1</v>
      </c>
      <c r="Q73" s="4" t="s">
        <v>2</v>
      </c>
      <c r="R73" s="4" t="s">
        <v>3</v>
      </c>
    </row>
    <row r="74" spans="3:18" ht="15.6">
      <c r="C74" s="14" t="s">
        <v>16</v>
      </c>
      <c r="D74" s="49" t="s">
        <v>17</v>
      </c>
      <c r="E74" s="112" t="s">
        <v>18</v>
      </c>
      <c r="F74" s="17" t="s">
        <v>19</v>
      </c>
      <c r="G74" s="17" t="s">
        <v>20</v>
      </c>
      <c r="H74" s="17" t="s">
        <v>21</v>
      </c>
      <c r="I74" s="17" t="s">
        <v>22</v>
      </c>
      <c r="J74" s="17" t="s">
        <v>2</v>
      </c>
      <c r="K74" s="18" t="s">
        <v>23</v>
      </c>
      <c r="L74" s="18" t="s">
        <v>24</v>
      </c>
      <c r="M74" s="17" t="s">
        <v>25</v>
      </c>
      <c r="N74" s="81" t="s">
        <v>26</v>
      </c>
      <c r="P74" s="6" t="s">
        <v>113</v>
      </c>
      <c r="Q74" s="7"/>
      <c r="R74" s="8"/>
    </row>
    <row r="75" spans="3:18" ht="14.4">
      <c r="C75" s="122">
        <v>46082</v>
      </c>
      <c r="D75" s="121"/>
      <c r="E75" s="76" t="s">
        <v>18</v>
      </c>
      <c r="F75" s="55"/>
      <c r="G75" s="21"/>
      <c r="H75" s="70" t="s">
        <v>358</v>
      </c>
      <c r="I75" s="23"/>
      <c r="J75" s="23"/>
      <c r="K75" s="23"/>
      <c r="L75" s="8"/>
      <c r="M75" s="78"/>
      <c r="N75" s="82"/>
      <c r="P75" s="6"/>
      <c r="Q75" s="7"/>
      <c r="R75" s="10"/>
    </row>
    <row r="76" spans="3:18" ht="14.4">
      <c r="C76" s="122">
        <v>46083</v>
      </c>
      <c r="D76" s="123"/>
      <c r="E76" s="76" t="s">
        <v>18</v>
      </c>
      <c r="F76" s="55"/>
      <c r="G76" s="26"/>
      <c r="H76" s="70" t="s">
        <v>410</v>
      </c>
      <c r="I76" s="21"/>
      <c r="J76" s="27"/>
      <c r="K76" s="7"/>
      <c r="L76" s="8"/>
      <c r="M76" s="78"/>
      <c r="N76" s="82"/>
      <c r="P76" s="6"/>
      <c r="Q76" s="7"/>
      <c r="R76" s="10"/>
    </row>
    <row r="77" spans="3:18" ht="14.4">
      <c r="C77" s="122">
        <v>46084</v>
      </c>
      <c r="D77" s="121"/>
      <c r="E77" s="76" t="s">
        <v>18</v>
      </c>
      <c r="F77" s="55"/>
      <c r="G77" s="21"/>
      <c r="H77" s="70" t="s">
        <v>420</v>
      </c>
      <c r="I77" s="21"/>
      <c r="J77" s="5"/>
      <c r="K77" s="7"/>
      <c r="L77" s="8"/>
      <c r="M77" s="78"/>
      <c r="N77" s="82"/>
      <c r="P77" s="6"/>
      <c r="Q77" s="7"/>
      <c r="R77" s="11"/>
    </row>
    <row r="78" spans="3:18" ht="14.4">
      <c r="C78" s="122">
        <v>46085</v>
      </c>
      <c r="D78" s="121"/>
      <c r="E78" s="76" t="s">
        <v>18</v>
      </c>
      <c r="F78" s="55"/>
      <c r="G78" s="21"/>
      <c r="H78" s="70" t="s">
        <v>426</v>
      </c>
      <c r="I78" s="21"/>
      <c r="J78" s="5"/>
      <c r="K78" s="7"/>
      <c r="L78" s="8"/>
      <c r="M78" s="78"/>
      <c r="N78" s="82"/>
      <c r="P78" s="6"/>
      <c r="Q78" s="7"/>
      <c r="R78" s="11"/>
    </row>
    <row r="79" spans="3:18" ht="14.4">
      <c r="C79" s="122">
        <v>46086</v>
      </c>
      <c r="D79" s="121"/>
      <c r="E79" s="76" t="s">
        <v>18</v>
      </c>
      <c r="F79" s="55"/>
      <c r="G79" s="21"/>
      <c r="H79" s="70" t="s">
        <v>431</v>
      </c>
      <c r="I79" s="21"/>
      <c r="J79" s="5"/>
      <c r="K79" s="7"/>
      <c r="L79" s="8"/>
      <c r="M79" s="78"/>
      <c r="N79" s="82"/>
      <c r="P79" s="6"/>
      <c r="Q79" s="7"/>
      <c r="R79" s="12"/>
    </row>
    <row r="80" spans="3:18" ht="14.4">
      <c r="C80" s="122">
        <v>46087</v>
      </c>
      <c r="D80" s="49" t="s">
        <v>17</v>
      </c>
      <c r="E80" s="121"/>
      <c r="F80" s="55"/>
      <c r="G80" s="21"/>
      <c r="H80" s="70" t="s">
        <v>438</v>
      </c>
      <c r="I80" s="21"/>
      <c r="J80" s="28"/>
      <c r="K80" s="7"/>
      <c r="L80" s="8"/>
      <c r="M80" s="78"/>
      <c r="N80" s="82"/>
      <c r="P80" s="6"/>
      <c r="Q80" s="7"/>
      <c r="R80" s="12"/>
    </row>
    <row r="81" spans="3:18" ht="14.4">
      <c r="C81" s="122">
        <v>46088</v>
      </c>
      <c r="D81" s="121"/>
      <c r="E81" s="121"/>
      <c r="F81" s="55"/>
      <c r="G81" s="21"/>
      <c r="H81" s="70" t="s">
        <v>446</v>
      </c>
      <c r="I81" s="21"/>
      <c r="J81" s="28"/>
      <c r="K81" s="7"/>
      <c r="L81" s="8"/>
      <c r="M81" s="78"/>
      <c r="N81" s="82"/>
      <c r="P81" s="6"/>
      <c r="Q81" s="7"/>
      <c r="R81" s="12"/>
    </row>
    <row r="82" spans="3:18" ht="14.4">
      <c r="C82" s="122">
        <v>46089</v>
      </c>
      <c r="D82" s="49" t="s">
        <v>17</v>
      </c>
      <c r="E82" s="121"/>
      <c r="F82" s="55"/>
      <c r="G82" s="21"/>
      <c r="H82" s="22" t="s">
        <v>443</v>
      </c>
      <c r="I82" s="21"/>
      <c r="J82" s="27"/>
      <c r="K82" s="7"/>
      <c r="L82" s="8"/>
      <c r="M82" s="79"/>
      <c r="N82" s="82"/>
      <c r="P82" s="6"/>
      <c r="Q82" s="7"/>
      <c r="R82" s="8"/>
    </row>
    <row r="83" spans="3:18" ht="14.4">
      <c r="C83" s="122">
        <v>46090</v>
      </c>
      <c r="D83" s="49" t="s">
        <v>17</v>
      </c>
      <c r="E83" s="121"/>
      <c r="F83" s="107"/>
      <c r="G83" s="73"/>
      <c r="H83" s="22" t="s">
        <v>444</v>
      </c>
      <c r="I83" s="21"/>
      <c r="J83" s="28"/>
      <c r="K83" s="7"/>
      <c r="L83" s="8"/>
      <c r="M83" s="78"/>
      <c r="N83" s="82"/>
      <c r="P83" s="6"/>
      <c r="Q83" s="7"/>
      <c r="R83" s="10"/>
    </row>
    <row r="84" spans="3:18" ht="14.4">
      <c r="C84" s="122">
        <v>46091</v>
      </c>
      <c r="D84" s="121"/>
      <c r="E84" s="121"/>
      <c r="F84" s="121"/>
      <c r="G84" s="121"/>
      <c r="H84" s="22" t="s">
        <v>445</v>
      </c>
      <c r="I84" s="55"/>
      <c r="J84" s="27"/>
      <c r="K84" s="7"/>
      <c r="L84" s="8"/>
      <c r="M84" s="78"/>
      <c r="N84" s="82"/>
      <c r="P84" s="6"/>
      <c r="Q84" s="7"/>
      <c r="R84" s="10"/>
    </row>
    <row r="85" spans="3:18" ht="14.4">
      <c r="C85" s="122">
        <v>46092</v>
      </c>
      <c r="D85" s="49" t="s">
        <v>17</v>
      </c>
      <c r="E85" s="121"/>
      <c r="F85" s="121"/>
      <c r="G85" s="121"/>
      <c r="H85" s="22" t="s">
        <v>458</v>
      </c>
      <c r="I85" s="55"/>
      <c r="J85" s="28"/>
      <c r="K85" s="7"/>
      <c r="L85" s="8"/>
      <c r="M85" s="78"/>
      <c r="N85" s="82"/>
      <c r="P85" s="6"/>
      <c r="Q85" s="7"/>
      <c r="R85" s="11"/>
    </row>
    <row r="86" spans="3:18" ht="14.4">
      <c r="C86" s="122">
        <v>46093</v>
      </c>
      <c r="D86" s="49" t="s">
        <v>17</v>
      </c>
      <c r="E86" s="121"/>
      <c r="F86" s="121"/>
      <c r="G86" s="121"/>
      <c r="H86" s="22" t="s">
        <v>474</v>
      </c>
      <c r="I86" s="55"/>
      <c r="J86" s="28"/>
      <c r="K86" s="7"/>
      <c r="L86" s="8"/>
      <c r="M86" s="78"/>
      <c r="N86" s="82"/>
    </row>
    <row r="87" spans="3:18" ht="15.75" customHeight="1">
      <c r="C87" s="122">
        <v>46094</v>
      </c>
      <c r="D87" s="49"/>
      <c r="E87" s="76" t="s">
        <v>18</v>
      </c>
      <c r="F87" s="74"/>
      <c r="G87" s="132"/>
      <c r="H87" s="131" t="s">
        <v>476</v>
      </c>
      <c r="I87" s="55"/>
      <c r="J87" s="28"/>
      <c r="K87" s="7"/>
      <c r="L87" s="8"/>
      <c r="M87" s="78"/>
      <c r="N87" s="82"/>
    </row>
    <row r="88" spans="3:18" ht="15.75" customHeight="1">
      <c r="C88" s="122">
        <v>46095</v>
      </c>
      <c r="D88" s="121"/>
      <c r="E88" s="49" t="s">
        <v>17</v>
      </c>
      <c r="F88" s="104"/>
      <c r="G88" s="30"/>
      <c r="H88" s="131" t="s">
        <v>475</v>
      </c>
      <c r="I88" s="21"/>
      <c r="J88" s="28"/>
      <c r="K88" s="7"/>
      <c r="L88" s="8"/>
      <c r="M88" s="78"/>
      <c r="N88" s="82"/>
    </row>
    <row r="89" spans="3:18" ht="15.75" customHeight="1">
      <c r="C89" s="122">
        <v>46096</v>
      </c>
      <c r="D89" s="109"/>
      <c r="E89" s="49" t="s">
        <v>17</v>
      </c>
      <c r="F89" s="55"/>
      <c r="G89" s="21"/>
      <c r="H89" s="131" t="s">
        <v>477</v>
      </c>
      <c r="I89" s="21"/>
      <c r="J89" s="28"/>
      <c r="K89" s="7"/>
      <c r="L89" s="8"/>
      <c r="M89" s="78"/>
      <c r="N89" s="82"/>
    </row>
    <row r="90" spans="3:18" ht="15.75" customHeight="1">
      <c r="C90" s="122">
        <v>46097</v>
      </c>
      <c r="D90" s="74"/>
      <c r="E90" s="76" t="s">
        <v>18</v>
      </c>
      <c r="F90" s="55"/>
      <c r="G90" s="21"/>
      <c r="H90" s="131" t="s">
        <v>478</v>
      </c>
      <c r="I90" s="21"/>
      <c r="J90" s="28"/>
      <c r="K90" s="7"/>
      <c r="L90" s="8"/>
      <c r="M90" s="78"/>
      <c r="N90" s="82"/>
    </row>
    <row r="91" spans="3:18" ht="15.75" customHeight="1">
      <c r="C91" s="122">
        <v>46098</v>
      </c>
      <c r="D91" s="109"/>
      <c r="E91" s="49" t="s">
        <v>17</v>
      </c>
      <c r="F91" s="55"/>
      <c r="G91" s="21"/>
      <c r="H91" s="131" t="s">
        <v>516</v>
      </c>
      <c r="I91" s="21"/>
      <c r="J91" s="28"/>
      <c r="K91" s="7"/>
      <c r="L91" s="8"/>
      <c r="M91" s="78"/>
      <c r="N91" s="82"/>
    </row>
    <row r="92" spans="3:18" ht="15.75" customHeight="1">
      <c r="C92" s="122">
        <v>46099</v>
      </c>
      <c r="D92" s="121"/>
      <c r="E92" s="76" t="s">
        <v>18</v>
      </c>
      <c r="F92" s="55"/>
      <c r="G92" s="21"/>
      <c r="H92" s="131" t="s">
        <v>517</v>
      </c>
      <c r="I92" s="21"/>
      <c r="J92" s="27"/>
      <c r="K92" s="7"/>
      <c r="L92" s="8"/>
      <c r="M92" s="78"/>
      <c r="N92" s="82"/>
    </row>
    <row r="93" spans="3:18" ht="15.75" customHeight="1">
      <c r="C93" s="122">
        <v>46100</v>
      </c>
      <c r="D93" s="121"/>
      <c r="E93" s="49" t="s">
        <v>17</v>
      </c>
      <c r="F93" s="55"/>
      <c r="G93" s="21"/>
      <c r="H93" s="131" t="s">
        <v>518</v>
      </c>
      <c r="I93" s="21"/>
      <c r="J93" s="28"/>
      <c r="K93" s="7"/>
      <c r="L93" s="8"/>
      <c r="M93" s="78"/>
      <c r="N93" s="82"/>
    </row>
    <row r="94" spans="3:18" ht="15.75" customHeight="1">
      <c r="C94" s="122">
        <v>46101</v>
      </c>
      <c r="D94" s="121"/>
      <c r="E94" s="49" t="s">
        <v>17</v>
      </c>
      <c r="F94" s="55"/>
      <c r="G94" s="21"/>
      <c r="H94" s="131" t="s">
        <v>519</v>
      </c>
      <c r="I94" s="21"/>
      <c r="J94" s="28"/>
      <c r="K94" s="7"/>
      <c r="L94" s="8"/>
      <c r="M94" s="78"/>
      <c r="N94" s="82"/>
    </row>
    <row r="95" spans="3:18" ht="15.75" customHeight="1">
      <c r="C95" s="122">
        <v>46102</v>
      </c>
      <c r="D95" s="121"/>
      <c r="E95" s="76" t="s">
        <v>18</v>
      </c>
      <c r="F95" s="55"/>
      <c r="G95" s="21"/>
      <c r="H95" s="131" t="s">
        <v>528</v>
      </c>
      <c r="I95" s="21"/>
      <c r="J95" s="28"/>
      <c r="K95" s="7"/>
      <c r="L95" s="8"/>
      <c r="M95" s="78"/>
      <c r="N95" s="82"/>
    </row>
    <row r="96" spans="3:18" ht="15.75" customHeight="1">
      <c r="C96" s="122">
        <v>46103</v>
      </c>
      <c r="D96" s="74"/>
      <c r="E96" s="76" t="s">
        <v>18</v>
      </c>
      <c r="F96" s="55"/>
      <c r="G96" s="21"/>
      <c r="H96" s="131" t="s">
        <v>529</v>
      </c>
      <c r="I96" s="21"/>
      <c r="J96" s="28"/>
      <c r="K96" s="7"/>
      <c r="L96" s="8"/>
      <c r="M96" s="78"/>
      <c r="N96" s="82"/>
    </row>
    <row r="97" spans="3:14" ht="15.75" customHeight="1">
      <c r="C97" s="122">
        <v>46104</v>
      </c>
      <c r="D97" s="109"/>
      <c r="E97" s="76" t="s">
        <v>18</v>
      </c>
      <c r="F97" s="55"/>
      <c r="G97" s="21"/>
      <c r="H97" s="131" t="s">
        <v>530</v>
      </c>
      <c r="I97" s="21"/>
      <c r="J97" s="27"/>
      <c r="K97" s="7"/>
      <c r="L97" s="8"/>
      <c r="M97" s="78"/>
      <c r="N97" s="82"/>
    </row>
    <row r="98" spans="3:14" ht="15.75" customHeight="1">
      <c r="C98" s="122">
        <v>46105</v>
      </c>
      <c r="D98" s="123"/>
      <c r="E98" s="76" t="s">
        <v>18</v>
      </c>
      <c r="F98" s="55"/>
      <c r="G98" s="21"/>
      <c r="H98" s="131" t="s">
        <v>530</v>
      </c>
      <c r="I98" s="21"/>
      <c r="J98" s="28"/>
      <c r="K98" s="7"/>
      <c r="L98" s="8"/>
      <c r="M98" s="78"/>
      <c r="N98" s="82"/>
    </row>
    <row r="99" spans="3:14" ht="15.75" customHeight="1">
      <c r="C99" s="122">
        <v>46106</v>
      </c>
      <c r="D99" s="109"/>
      <c r="E99" s="49" t="s">
        <v>17</v>
      </c>
      <c r="F99" s="55"/>
      <c r="G99" s="21"/>
      <c r="H99" s="131" t="s">
        <v>547</v>
      </c>
      <c r="I99" s="21"/>
      <c r="J99" s="28"/>
      <c r="K99" s="7"/>
      <c r="L99" s="8"/>
      <c r="M99" s="78"/>
      <c r="N99" s="82"/>
    </row>
    <row r="100" spans="3:14" ht="15.75" customHeight="1">
      <c r="C100" s="122">
        <v>46107</v>
      </c>
      <c r="D100" s="109"/>
      <c r="E100" s="76" t="s">
        <v>18</v>
      </c>
      <c r="F100" s="55"/>
      <c r="G100" s="21"/>
      <c r="H100" s="131" t="s">
        <v>530</v>
      </c>
      <c r="I100" s="21"/>
      <c r="J100" s="28"/>
      <c r="K100" s="7"/>
      <c r="L100" s="8"/>
      <c r="M100" s="78"/>
      <c r="N100" s="82"/>
    </row>
    <row r="101" spans="3:14" ht="15.75" customHeight="1">
      <c r="C101" s="122">
        <v>46108</v>
      </c>
      <c r="D101" s="109"/>
      <c r="E101" s="76" t="s">
        <v>18</v>
      </c>
      <c r="F101" s="55"/>
      <c r="G101" s="21"/>
      <c r="H101" s="131" t="s">
        <v>530</v>
      </c>
      <c r="I101" s="21"/>
      <c r="J101" s="28"/>
      <c r="K101" s="7"/>
      <c r="L101" s="8"/>
      <c r="M101" s="78"/>
      <c r="N101" s="82"/>
    </row>
    <row r="102" spans="3:14" ht="15.75" customHeight="1">
      <c r="C102" s="122">
        <v>46109</v>
      </c>
      <c r="D102" s="109"/>
      <c r="E102" s="76" t="s">
        <v>18</v>
      </c>
      <c r="F102" s="55"/>
      <c r="G102" s="21"/>
      <c r="H102" s="131" t="s">
        <v>530</v>
      </c>
      <c r="I102" s="21"/>
      <c r="J102" s="28"/>
      <c r="K102" s="7"/>
      <c r="L102" s="8"/>
      <c r="M102" s="78"/>
      <c r="N102" s="82"/>
    </row>
    <row r="103" spans="3:14" ht="15.75" customHeight="1">
      <c r="C103" s="122">
        <v>46110</v>
      </c>
      <c r="D103" s="123"/>
      <c r="E103" s="76" t="s">
        <v>18</v>
      </c>
      <c r="F103" s="55"/>
      <c r="G103" s="21"/>
      <c r="H103" s="131" t="s">
        <v>530</v>
      </c>
      <c r="I103" s="21"/>
      <c r="J103" s="28"/>
      <c r="K103" s="7"/>
      <c r="L103" s="8"/>
      <c r="M103" s="78"/>
      <c r="N103" s="82"/>
    </row>
    <row r="104" spans="3:14" ht="15.75" customHeight="1">
      <c r="C104" s="122">
        <v>46111</v>
      </c>
      <c r="D104" s="109"/>
      <c r="E104" s="76" t="s">
        <v>18</v>
      </c>
      <c r="F104" s="55"/>
      <c r="G104" s="21"/>
      <c r="H104" s="131" t="s">
        <v>530</v>
      </c>
      <c r="I104" s="21"/>
      <c r="J104" s="28"/>
      <c r="K104" s="7"/>
      <c r="L104" s="8"/>
      <c r="M104" s="78"/>
      <c r="N104" s="82"/>
    </row>
    <row r="105" spans="3:14" ht="15.75" customHeight="1">
      <c r="C105" s="122">
        <v>46112</v>
      </c>
      <c r="D105" s="123"/>
      <c r="E105" s="76" t="s">
        <v>18</v>
      </c>
      <c r="F105" s="55"/>
      <c r="G105" s="21"/>
      <c r="H105" s="131" t="s">
        <v>530</v>
      </c>
      <c r="I105" s="21"/>
      <c r="J105" s="28"/>
      <c r="K105" s="7"/>
      <c r="L105" s="8"/>
      <c r="M105" s="78"/>
      <c r="N105" s="82"/>
    </row>
    <row r="106" spans="3:14" ht="15.75" customHeight="1">
      <c r="C106" s="122">
        <v>46113</v>
      </c>
      <c r="E106" s="76" t="s">
        <v>18</v>
      </c>
      <c r="H106" s="131" t="s">
        <v>530</v>
      </c>
      <c r="K106" s="2"/>
      <c r="L106" s="2"/>
    </row>
    <row r="107" spans="3:14" ht="15.75" customHeight="1">
      <c r="C107" s="122">
        <v>46114</v>
      </c>
      <c r="E107" s="76" t="s">
        <v>18</v>
      </c>
      <c r="H107" s="131" t="s">
        <v>530</v>
      </c>
      <c r="K107" s="2"/>
      <c r="L107" s="2"/>
    </row>
    <row r="108" spans="3:14" ht="15.75" customHeight="1">
      <c r="C108" s="122">
        <v>46115</v>
      </c>
      <c r="E108" s="76" t="s">
        <v>18</v>
      </c>
      <c r="H108" s="131" t="s">
        <v>530</v>
      </c>
      <c r="K108" s="2"/>
      <c r="L108" s="2"/>
    </row>
    <row r="109" spans="3:14" ht="15.75" customHeight="1">
      <c r="C109" s="122">
        <v>46116</v>
      </c>
      <c r="E109" s="76" t="s">
        <v>18</v>
      </c>
      <c r="H109" s="131" t="s">
        <v>530</v>
      </c>
      <c r="K109" s="2"/>
      <c r="L109" s="2"/>
    </row>
    <row r="110" spans="3:14" ht="15.75" customHeight="1">
      <c r="C110" s="122">
        <v>46117</v>
      </c>
      <c r="E110" s="76" t="s">
        <v>18</v>
      </c>
      <c r="H110" s="131" t="s">
        <v>530</v>
      </c>
      <c r="K110" s="2"/>
      <c r="L110" s="2"/>
    </row>
    <row r="111" spans="3:14" ht="15.75" customHeight="1">
      <c r="C111" s="122">
        <v>46118</v>
      </c>
      <c r="E111" s="76" t="s">
        <v>18</v>
      </c>
      <c r="H111" s="131" t="s">
        <v>530</v>
      </c>
      <c r="K111" s="2"/>
      <c r="L111" s="2"/>
    </row>
    <row r="112" spans="3:14" ht="15.75" customHeight="1">
      <c r="C112" s="122">
        <v>46119</v>
      </c>
      <c r="E112" s="76" t="s">
        <v>18</v>
      </c>
      <c r="H112" s="131" t="s">
        <v>530</v>
      </c>
      <c r="K112" s="2"/>
      <c r="L112" s="2"/>
    </row>
    <row r="113" spans="3:12" ht="15.75" customHeight="1">
      <c r="C113" s="122">
        <v>46120</v>
      </c>
      <c r="E113" s="76" t="s">
        <v>18</v>
      </c>
      <c r="H113" s="131" t="s">
        <v>530</v>
      </c>
      <c r="K113" s="2"/>
      <c r="L113" s="2"/>
    </row>
    <row r="114" spans="3:12" ht="15.75" customHeight="1">
      <c r="C114" s="122">
        <v>46121</v>
      </c>
      <c r="E114" s="76" t="s">
        <v>18</v>
      </c>
      <c r="H114" s="131" t="s">
        <v>530</v>
      </c>
      <c r="K114" s="2"/>
      <c r="L114" s="2"/>
    </row>
    <row r="115" spans="3:12" ht="15.75" customHeight="1">
      <c r="C115" s="122">
        <v>46122</v>
      </c>
      <c r="E115" s="76" t="s">
        <v>18</v>
      </c>
      <c r="H115" s="131" t="s">
        <v>530</v>
      </c>
      <c r="K115" s="2"/>
      <c r="L115" s="2"/>
    </row>
    <row r="116" spans="3:12" ht="15.75" customHeight="1">
      <c r="C116" s="122">
        <v>46123</v>
      </c>
      <c r="E116" s="49" t="s">
        <v>17</v>
      </c>
      <c r="H116" s="131" t="s">
        <v>547</v>
      </c>
      <c r="K116" s="2"/>
      <c r="L116" s="2"/>
    </row>
    <row r="117" spans="3:12" ht="15.75" customHeight="1">
      <c r="C117" s="122">
        <v>46124</v>
      </c>
      <c r="E117" s="76" t="s">
        <v>18</v>
      </c>
      <c r="H117" s="131" t="s">
        <v>530</v>
      </c>
      <c r="K117" s="2"/>
      <c r="L117" s="2"/>
    </row>
    <row r="118" spans="3:12" ht="15.75" customHeight="1">
      <c r="C118" s="122">
        <v>46125</v>
      </c>
      <c r="E118" s="76" t="s">
        <v>18</v>
      </c>
      <c r="H118" s="131" t="s">
        <v>530</v>
      </c>
      <c r="K118" s="2"/>
      <c r="L118" s="2"/>
    </row>
    <row r="119" spans="3:12" ht="15.75" customHeight="1">
      <c r="C119" s="122">
        <v>46126</v>
      </c>
      <c r="E119" s="49" t="s">
        <v>17</v>
      </c>
      <c r="H119" s="131" t="s">
        <v>547</v>
      </c>
      <c r="K119" s="2"/>
      <c r="L119" s="2"/>
    </row>
    <row r="120" spans="3:12" ht="15.75" customHeight="1">
      <c r="C120" s="122">
        <v>46127</v>
      </c>
      <c r="E120" s="49" t="s">
        <v>17</v>
      </c>
      <c r="H120" s="131" t="s">
        <v>547</v>
      </c>
      <c r="K120" s="2"/>
      <c r="L120" s="2"/>
    </row>
    <row r="121" spans="3:12" ht="15.75" customHeight="1">
      <c r="C121" s="122">
        <v>46128</v>
      </c>
      <c r="E121" s="76" t="s">
        <v>18</v>
      </c>
      <c r="H121" s="131" t="s">
        <v>530</v>
      </c>
      <c r="K121" s="2"/>
      <c r="L121" s="2"/>
    </row>
    <row r="122" spans="3:12" ht="15.75" customHeight="1">
      <c r="C122" s="122">
        <v>46129</v>
      </c>
      <c r="E122" s="49" t="s">
        <v>17</v>
      </c>
      <c r="H122" s="131" t="s">
        <v>547</v>
      </c>
      <c r="K122" s="2"/>
      <c r="L122" s="2"/>
    </row>
    <row r="123" spans="3:12" ht="15.75" customHeight="1">
      <c r="C123" s="122">
        <v>46130</v>
      </c>
      <c r="E123" s="76" t="s">
        <v>18</v>
      </c>
      <c r="H123" s="131" t="s">
        <v>530</v>
      </c>
      <c r="K123" s="2"/>
      <c r="L123" s="2"/>
    </row>
    <row r="124" spans="3:12" ht="15.75" customHeight="1">
      <c r="C124" s="122">
        <v>46131</v>
      </c>
      <c r="E124" s="49" t="s">
        <v>17</v>
      </c>
      <c r="H124" s="131" t="s">
        <v>547</v>
      </c>
      <c r="K124" s="2"/>
      <c r="L124" s="2"/>
    </row>
    <row r="125" spans="3:12" ht="15.75" customHeight="1">
      <c r="C125" s="122">
        <v>46132</v>
      </c>
      <c r="E125" s="76" t="s">
        <v>18</v>
      </c>
      <c r="H125" s="131" t="s">
        <v>530</v>
      </c>
      <c r="K125" s="2"/>
      <c r="L125" s="2"/>
    </row>
    <row r="126" spans="3:12" ht="15.75" customHeight="1">
      <c r="C126" s="122">
        <v>46133</v>
      </c>
      <c r="E126" s="76" t="s">
        <v>18</v>
      </c>
      <c r="H126" s="131" t="s">
        <v>530</v>
      </c>
      <c r="K126" s="2"/>
      <c r="L126" s="2"/>
    </row>
    <row r="127" spans="3:12" ht="15.75" customHeight="1">
      <c r="C127" s="122">
        <v>46134</v>
      </c>
      <c r="E127" s="49" t="s">
        <v>17</v>
      </c>
      <c r="H127" s="131" t="s">
        <v>547</v>
      </c>
      <c r="K127" s="2"/>
      <c r="L127" s="2"/>
    </row>
    <row r="128" spans="3:12" ht="15.75" customHeight="1">
      <c r="C128" s="122">
        <v>46135</v>
      </c>
      <c r="E128" s="49" t="s">
        <v>17</v>
      </c>
      <c r="H128" s="131" t="s">
        <v>547</v>
      </c>
      <c r="K128" s="2"/>
      <c r="L128" s="2"/>
    </row>
    <row r="129" spans="3:12" ht="15.75" customHeight="1">
      <c r="C129" s="122">
        <v>46136</v>
      </c>
      <c r="E129" s="49" t="s">
        <v>17</v>
      </c>
      <c r="H129" s="131" t="s">
        <v>547</v>
      </c>
      <c r="K129" s="2"/>
      <c r="L129" s="2"/>
    </row>
    <row r="130" spans="3:12" ht="15.75" customHeight="1">
      <c r="C130" s="122">
        <v>46137</v>
      </c>
      <c r="E130" s="49" t="s">
        <v>17</v>
      </c>
      <c r="H130" s="131" t="s">
        <v>547</v>
      </c>
      <c r="K130" s="2"/>
      <c r="L130" s="2"/>
    </row>
    <row r="131" spans="3:12" ht="15.75" customHeight="1">
      <c r="C131" s="122">
        <v>46138</v>
      </c>
      <c r="E131" s="49" t="s">
        <v>17</v>
      </c>
      <c r="H131" s="131" t="s">
        <v>547</v>
      </c>
      <c r="K131" s="2"/>
      <c r="L131" s="2"/>
    </row>
    <row r="132" spans="3:12" ht="15.75" customHeight="1">
      <c r="C132" s="13"/>
      <c r="K132" s="2"/>
      <c r="L132" s="2"/>
    </row>
    <row r="133" spans="3:12" ht="15.75" customHeight="1">
      <c r="C133" s="13"/>
      <c r="K133" s="2"/>
      <c r="L133" s="2"/>
    </row>
    <row r="134" spans="3:12" ht="15.75" customHeight="1">
      <c r="C134" s="13"/>
      <c r="K134" s="2"/>
      <c r="L134" s="2"/>
    </row>
    <row r="135" spans="3:12" ht="15.75" customHeight="1">
      <c r="C135" s="13"/>
      <c r="K135" s="2"/>
      <c r="L135" s="2"/>
    </row>
    <row r="136" spans="3:12" ht="15.75" customHeight="1">
      <c r="C136" s="13"/>
      <c r="K136" s="2"/>
      <c r="L136" s="2"/>
    </row>
    <row r="137" spans="3:12" ht="15.75" customHeight="1">
      <c r="C137" s="13"/>
      <c r="K137" s="2"/>
      <c r="L137" s="2"/>
    </row>
    <row r="138" spans="3:12" ht="15.75" customHeight="1">
      <c r="C138" s="13"/>
      <c r="K138" s="2"/>
      <c r="L138" s="2"/>
    </row>
    <row r="139" spans="3:12" ht="15.75" customHeight="1">
      <c r="C139" s="13"/>
      <c r="K139" s="2"/>
      <c r="L139" s="2"/>
    </row>
    <row r="140" spans="3:12" ht="15.75" customHeight="1">
      <c r="C140" s="13"/>
      <c r="K140" s="2"/>
      <c r="L140" s="2"/>
    </row>
    <row r="141" spans="3:12" ht="15.75" customHeight="1">
      <c r="C141" s="13"/>
      <c r="K141" s="2"/>
      <c r="L141" s="2"/>
    </row>
    <row r="142" spans="3:12" ht="15.75" customHeight="1">
      <c r="C142" s="13"/>
      <c r="K142" s="2"/>
      <c r="L142" s="2"/>
    </row>
    <row r="143" spans="3:12" ht="15.75" customHeight="1">
      <c r="C143" s="13"/>
      <c r="K143" s="2"/>
      <c r="L143" s="2"/>
    </row>
    <row r="144" spans="3:12" ht="15.75" customHeight="1">
      <c r="C144" s="13"/>
      <c r="K144" s="2"/>
      <c r="L144" s="2"/>
    </row>
    <row r="145" spans="3:12" ht="15.75" customHeight="1">
      <c r="C145" s="13"/>
      <c r="K145" s="2"/>
      <c r="L145" s="2"/>
    </row>
    <row r="146" spans="3:12" ht="15.75" customHeight="1">
      <c r="C146" s="13"/>
      <c r="K146" s="2"/>
      <c r="L146" s="2"/>
    </row>
    <row r="147" spans="3:12" ht="15.75" customHeight="1">
      <c r="C147" s="13"/>
      <c r="K147" s="2"/>
      <c r="L147" s="2"/>
    </row>
    <row r="148" spans="3:12" ht="15.75" customHeight="1">
      <c r="C148" s="13"/>
      <c r="K148" s="2"/>
      <c r="L148" s="2"/>
    </row>
    <row r="149" spans="3:12" ht="15.75" customHeight="1">
      <c r="C149" s="13"/>
      <c r="K149" s="2"/>
      <c r="L149" s="2"/>
    </row>
    <row r="150" spans="3:12" ht="15.75" customHeight="1">
      <c r="C150" s="13"/>
      <c r="K150" s="2"/>
      <c r="L150" s="2"/>
    </row>
    <row r="151" spans="3:12" ht="15.75" customHeight="1">
      <c r="C151" s="13"/>
      <c r="K151" s="2"/>
      <c r="L151" s="2"/>
    </row>
    <row r="152" spans="3:12" ht="15.75" customHeight="1">
      <c r="C152" s="13"/>
      <c r="K152" s="2"/>
      <c r="L152" s="2"/>
    </row>
    <row r="153" spans="3:12" ht="15.75" customHeight="1">
      <c r="C153" s="13"/>
      <c r="K153" s="2"/>
      <c r="L153" s="2"/>
    </row>
    <row r="154" spans="3:12" ht="15.75" customHeight="1">
      <c r="C154" s="13"/>
      <c r="K154" s="2"/>
      <c r="L154" s="2"/>
    </row>
    <row r="155" spans="3:12" ht="15.75" customHeight="1">
      <c r="C155" s="13"/>
      <c r="K155" s="2"/>
      <c r="L155" s="2"/>
    </row>
    <row r="156" spans="3:12" ht="15.75" customHeight="1">
      <c r="C156" s="13"/>
      <c r="K156" s="2"/>
      <c r="L156" s="2"/>
    </row>
    <row r="157" spans="3:12" ht="15.75" customHeight="1">
      <c r="C157" s="13"/>
      <c r="K157" s="2"/>
      <c r="L157" s="2"/>
    </row>
    <row r="158" spans="3:12" ht="15.75" customHeight="1">
      <c r="C158" s="13"/>
      <c r="K158" s="2"/>
      <c r="L158" s="2"/>
    </row>
    <row r="159" spans="3:12" ht="15.75" customHeight="1">
      <c r="C159" s="13"/>
      <c r="K159" s="2"/>
      <c r="L159" s="2"/>
    </row>
    <row r="160" spans="3:12" ht="15.75" customHeight="1">
      <c r="C160" s="13"/>
      <c r="K160" s="2"/>
      <c r="L160" s="2"/>
    </row>
    <row r="161" spans="3:12" ht="15.75" customHeight="1">
      <c r="C161" s="13"/>
      <c r="K161" s="2"/>
      <c r="L161" s="2"/>
    </row>
    <row r="162" spans="3:12" ht="15.75" customHeight="1">
      <c r="C162" s="13"/>
      <c r="K162" s="2"/>
      <c r="L162" s="2"/>
    </row>
    <row r="163" spans="3:12" ht="15.75" customHeight="1">
      <c r="C163" s="13"/>
      <c r="K163" s="2"/>
      <c r="L163" s="2"/>
    </row>
    <row r="164" spans="3:12" ht="15.75" customHeight="1">
      <c r="C164" s="13"/>
      <c r="K164" s="2"/>
      <c r="L164" s="2"/>
    </row>
    <row r="165" spans="3:12" ht="15.75" customHeight="1">
      <c r="C165" s="13"/>
      <c r="K165" s="2"/>
      <c r="L165" s="2"/>
    </row>
    <row r="166" spans="3:12" ht="15.75" customHeight="1">
      <c r="C166" s="13"/>
      <c r="K166" s="2"/>
      <c r="L166" s="2"/>
    </row>
    <row r="167" spans="3:12" ht="15.75" customHeight="1">
      <c r="C167" s="13"/>
      <c r="K167" s="2"/>
      <c r="L167" s="2"/>
    </row>
    <row r="168" spans="3:12" ht="15.75" customHeight="1">
      <c r="C168" s="13"/>
      <c r="K168" s="2"/>
      <c r="L168" s="2"/>
    </row>
    <row r="169" spans="3:12" ht="15.75" customHeight="1">
      <c r="C169" s="13"/>
      <c r="K169" s="2"/>
      <c r="L169" s="2"/>
    </row>
    <row r="170" spans="3:12" ht="15.75" customHeight="1">
      <c r="C170" s="13"/>
      <c r="K170" s="2"/>
      <c r="L170" s="2"/>
    </row>
    <row r="171" spans="3:12" ht="15.75" customHeight="1">
      <c r="C171" s="13"/>
      <c r="K171" s="2"/>
      <c r="L171" s="2"/>
    </row>
    <row r="172" spans="3:12" ht="15.75" customHeight="1">
      <c r="C172" s="13"/>
      <c r="K172" s="2"/>
      <c r="L172" s="2"/>
    </row>
    <row r="173" spans="3:12" ht="15.75" customHeight="1">
      <c r="C173" s="13"/>
      <c r="K173" s="2"/>
      <c r="L173" s="2"/>
    </row>
    <row r="174" spans="3:12" ht="15.75" customHeight="1">
      <c r="C174" s="13"/>
      <c r="K174" s="2"/>
      <c r="L174" s="2"/>
    </row>
    <row r="175" spans="3:12" ht="15.75" customHeight="1">
      <c r="C175" s="13"/>
      <c r="K175" s="2"/>
      <c r="L175" s="2"/>
    </row>
    <row r="176" spans="3:12" ht="15.75" customHeight="1">
      <c r="C176" s="13"/>
      <c r="K176" s="2"/>
      <c r="L176" s="2"/>
    </row>
    <row r="177" spans="3:12" ht="15.75" customHeight="1">
      <c r="C177" s="13"/>
      <c r="K177" s="2"/>
      <c r="L177" s="2"/>
    </row>
    <row r="178" spans="3:12" ht="15.75" customHeight="1">
      <c r="C178" s="13"/>
      <c r="K178" s="2"/>
      <c r="L178" s="2"/>
    </row>
    <row r="179" spans="3:12" ht="15.75" customHeight="1">
      <c r="C179" s="13"/>
      <c r="K179" s="2"/>
      <c r="L179" s="2"/>
    </row>
    <row r="180" spans="3:12" ht="15.75" customHeight="1">
      <c r="C180" s="13"/>
      <c r="K180" s="2"/>
      <c r="L180" s="2"/>
    </row>
    <row r="181" spans="3:12" ht="15.75" customHeight="1">
      <c r="C181" s="13"/>
      <c r="K181" s="2"/>
      <c r="L181" s="2"/>
    </row>
    <row r="182" spans="3:12" ht="15.75" customHeight="1">
      <c r="C182" s="13"/>
      <c r="K182" s="2"/>
      <c r="L182" s="2"/>
    </row>
    <row r="183" spans="3:12" ht="15.75" customHeight="1">
      <c r="C183" s="13"/>
      <c r="K183" s="2"/>
      <c r="L183" s="2"/>
    </row>
    <row r="184" spans="3:12" ht="15.75" customHeight="1">
      <c r="C184" s="13"/>
      <c r="K184" s="2"/>
      <c r="L184" s="2"/>
    </row>
    <row r="185" spans="3:12" ht="15.75" customHeight="1">
      <c r="C185" s="13"/>
      <c r="K185" s="2"/>
      <c r="L185" s="2"/>
    </row>
    <row r="186" spans="3:12" ht="15.75" customHeight="1">
      <c r="C186" s="13"/>
      <c r="K186" s="2"/>
      <c r="L186" s="2"/>
    </row>
    <row r="187" spans="3:12" ht="15.75" customHeight="1">
      <c r="C187" s="13"/>
      <c r="K187" s="2"/>
      <c r="L187" s="2"/>
    </row>
    <row r="188" spans="3:12" ht="15.75" customHeight="1">
      <c r="C188" s="13"/>
      <c r="K188" s="2"/>
      <c r="L188" s="2"/>
    </row>
    <row r="189" spans="3:12" ht="15.75" customHeight="1">
      <c r="C189" s="13"/>
      <c r="K189" s="2"/>
      <c r="L189" s="2"/>
    </row>
    <row r="190" spans="3:12" ht="15.75" customHeight="1">
      <c r="C190" s="13"/>
      <c r="K190" s="2"/>
      <c r="L190" s="2"/>
    </row>
    <row r="191" spans="3:12" ht="15.75" customHeight="1">
      <c r="C191" s="13"/>
      <c r="K191" s="2"/>
      <c r="L191" s="2"/>
    </row>
    <row r="192" spans="3:12" ht="15.75" customHeight="1">
      <c r="C192" s="13"/>
      <c r="K192" s="2"/>
      <c r="L192" s="2"/>
    </row>
    <row r="193" spans="3:12" ht="15.75" customHeight="1">
      <c r="C193" s="13"/>
      <c r="K193" s="2"/>
      <c r="L193" s="2"/>
    </row>
    <row r="194" spans="3:12" ht="15.75" customHeight="1">
      <c r="C194" s="13"/>
      <c r="K194" s="2"/>
      <c r="L194" s="2"/>
    </row>
    <row r="195" spans="3:12" ht="15.75" customHeight="1">
      <c r="C195" s="13"/>
      <c r="K195" s="2"/>
      <c r="L195" s="2"/>
    </row>
    <row r="196" spans="3:12" ht="15.75" customHeight="1">
      <c r="C196" s="13"/>
      <c r="K196" s="2"/>
      <c r="L196" s="2"/>
    </row>
    <row r="197" spans="3:12" ht="15.75" customHeight="1">
      <c r="C197" s="13"/>
      <c r="K197" s="2"/>
      <c r="L197" s="2"/>
    </row>
    <row r="198" spans="3:12" ht="15.75" customHeight="1">
      <c r="C198" s="13"/>
      <c r="K198" s="2"/>
      <c r="L198" s="2"/>
    </row>
    <row r="199" spans="3:12" ht="15.75" customHeight="1">
      <c r="C199" s="13"/>
      <c r="K199" s="2"/>
      <c r="L199" s="2"/>
    </row>
    <row r="200" spans="3:12" ht="15.75" customHeight="1">
      <c r="C200" s="13"/>
      <c r="K200" s="2"/>
      <c r="L200" s="2"/>
    </row>
    <row r="201" spans="3:12" ht="15.75" customHeight="1">
      <c r="C201" s="13"/>
      <c r="K201" s="2"/>
      <c r="L201" s="2"/>
    </row>
    <row r="202" spans="3:12" ht="15.75" customHeight="1">
      <c r="C202" s="13"/>
      <c r="K202" s="2"/>
      <c r="L202" s="2"/>
    </row>
    <row r="203" spans="3:12" ht="15.75" customHeight="1">
      <c r="C203" s="13"/>
      <c r="K203" s="2"/>
      <c r="L203" s="2"/>
    </row>
    <row r="204" spans="3:12" ht="15.75" customHeight="1">
      <c r="C204" s="13"/>
      <c r="K204" s="2"/>
      <c r="L204" s="2"/>
    </row>
    <row r="205" spans="3:12" ht="15.75" customHeight="1">
      <c r="C205" s="13"/>
      <c r="K205" s="2"/>
      <c r="L205" s="2"/>
    </row>
    <row r="206" spans="3:12" ht="15.75" customHeight="1">
      <c r="C206" s="13"/>
      <c r="K206" s="2"/>
      <c r="L206" s="2"/>
    </row>
    <row r="207" spans="3:12" ht="15.75" customHeight="1">
      <c r="C207" s="13"/>
      <c r="K207" s="2"/>
      <c r="L207" s="2"/>
    </row>
    <row r="208" spans="3:12" ht="15.75" customHeight="1">
      <c r="C208" s="13"/>
      <c r="K208" s="2"/>
      <c r="L208" s="2"/>
    </row>
    <row r="209" spans="3:12" ht="15.75" customHeight="1">
      <c r="C209" s="13"/>
      <c r="K209" s="2"/>
      <c r="L209" s="2"/>
    </row>
    <row r="210" spans="3:12" ht="15.75" customHeight="1">
      <c r="C210" s="13"/>
      <c r="K210" s="2"/>
      <c r="L210" s="2"/>
    </row>
    <row r="211" spans="3:12" ht="15.75" customHeight="1">
      <c r="C211" s="13"/>
      <c r="K211" s="2"/>
      <c r="L211" s="2"/>
    </row>
    <row r="212" spans="3:12" ht="15.75" customHeight="1">
      <c r="C212" s="13"/>
      <c r="K212" s="2"/>
      <c r="L212" s="2"/>
    </row>
    <row r="213" spans="3:12" ht="15.75" customHeight="1">
      <c r="C213" s="13"/>
      <c r="K213" s="2"/>
      <c r="L213" s="2"/>
    </row>
    <row r="214" spans="3:12" ht="15.75" customHeight="1">
      <c r="C214" s="13"/>
      <c r="K214" s="2"/>
      <c r="L214" s="2"/>
    </row>
    <row r="215" spans="3:12" ht="15.75" customHeight="1">
      <c r="C215" s="13"/>
      <c r="K215" s="2"/>
      <c r="L215" s="2"/>
    </row>
    <row r="216" spans="3:12" ht="15.75" customHeight="1">
      <c r="C216" s="13"/>
      <c r="K216" s="2"/>
      <c r="L216" s="2"/>
    </row>
    <row r="217" spans="3:12" ht="15.75" customHeight="1">
      <c r="C217" s="13"/>
      <c r="K217" s="2"/>
      <c r="L217" s="2"/>
    </row>
    <row r="218" spans="3:12" ht="15.75" customHeight="1">
      <c r="C218" s="13"/>
      <c r="K218" s="2"/>
      <c r="L218" s="2"/>
    </row>
    <row r="219" spans="3:12" ht="15.75" customHeight="1">
      <c r="C219" s="13"/>
      <c r="K219" s="2"/>
      <c r="L219" s="2"/>
    </row>
    <row r="220" spans="3:12" ht="15.75" customHeight="1">
      <c r="C220" s="13"/>
      <c r="K220" s="2"/>
      <c r="L220" s="2"/>
    </row>
    <row r="221" spans="3:12" ht="15.75" customHeight="1">
      <c r="C221" s="13"/>
      <c r="K221" s="2"/>
      <c r="L221" s="2"/>
    </row>
    <row r="222" spans="3:12" ht="15.75" customHeight="1">
      <c r="C222" s="13"/>
      <c r="K222" s="2"/>
      <c r="L222" s="2"/>
    </row>
    <row r="223" spans="3:12" ht="15.75" customHeight="1">
      <c r="C223" s="13"/>
      <c r="K223" s="2"/>
      <c r="L223" s="2"/>
    </row>
    <row r="224" spans="3:12" ht="15.75" customHeight="1">
      <c r="C224" s="13"/>
      <c r="K224" s="2"/>
      <c r="L224" s="2"/>
    </row>
    <row r="225" spans="3:12" ht="15.75" customHeight="1">
      <c r="C225" s="13"/>
      <c r="K225" s="2"/>
      <c r="L225" s="2"/>
    </row>
    <row r="226" spans="3:12" ht="15.75" customHeight="1">
      <c r="C226" s="13"/>
      <c r="K226" s="2"/>
      <c r="L226" s="2"/>
    </row>
    <row r="227" spans="3:12" ht="15.75" customHeight="1">
      <c r="C227" s="13"/>
      <c r="K227" s="2"/>
      <c r="L227" s="2"/>
    </row>
    <row r="228" spans="3:12" ht="15.75" customHeight="1">
      <c r="C228" s="13"/>
      <c r="K228" s="2"/>
      <c r="L228" s="2"/>
    </row>
    <row r="229" spans="3:12" ht="15.75" customHeight="1">
      <c r="C229" s="13"/>
      <c r="K229" s="2"/>
      <c r="L229" s="2"/>
    </row>
    <row r="230" spans="3:12" ht="15.75" customHeight="1">
      <c r="C230" s="13"/>
      <c r="K230" s="2"/>
      <c r="L230" s="2"/>
    </row>
    <row r="231" spans="3:12" ht="15.75" customHeight="1">
      <c r="C231" s="13"/>
      <c r="K231" s="2"/>
      <c r="L231" s="2"/>
    </row>
    <row r="232" spans="3:12" ht="15.75" customHeight="1">
      <c r="C232" s="13"/>
      <c r="K232" s="2"/>
      <c r="L232" s="2"/>
    </row>
    <row r="233" spans="3:12" ht="15.75" customHeight="1">
      <c r="C233" s="13"/>
      <c r="K233" s="2"/>
      <c r="L233" s="2"/>
    </row>
    <row r="234" spans="3:12" ht="15.75" customHeight="1">
      <c r="C234" s="13"/>
      <c r="K234" s="2"/>
      <c r="L234" s="2"/>
    </row>
    <row r="235" spans="3:12" ht="15.75" customHeight="1">
      <c r="C235" s="13"/>
      <c r="K235" s="2"/>
      <c r="L235" s="2"/>
    </row>
    <row r="236" spans="3:12" ht="15.75" customHeight="1">
      <c r="C236" s="13"/>
      <c r="K236" s="2"/>
      <c r="L236" s="2"/>
    </row>
    <row r="237" spans="3:12" ht="15.75" customHeight="1">
      <c r="C237" s="13"/>
      <c r="K237" s="2"/>
      <c r="L237" s="2"/>
    </row>
    <row r="238" spans="3:12" ht="15.75" customHeight="1">
      <c r="C238" s="13"/>
      <c r="K238" s="2"/>
      <c r="L238" s="2"/>
    </row>
    <row r="239" spans="3:12" ht="15.75" customHeight="1">
      <c r="C239" s="13"/>
      <c r="K239" s="2"/>
      <c r="L239" s="2"/>
    </row>
    <row r="240" spans="3:12" ht="15.75" customHeight="1">
      <c r="C240" s="13"/>
      <c r="K240" s="2"/>
      <c r="L240" s="2"/>
    </row>
    <row r="241" spans="3:12" ht="15.75" customHeight="1">
      <c r="C241" s="13"/>
      <c r="K241" s="2"/>
      <c r="L241" s="2"/>
    </row>
    <row r="242" spans="3:12" ht="15.75" customHeight="1">
      <c r="C242" s="13"/>
      <c r="K242" s="2"/>
      <c r="L242" s="2"/>
    </row>
    <row r="243" spans="3:12" ht="15.75" customHeight="1">
      <c r="C243" s="13"/>
      <c r="K243" s="2"/>
      <c r="L243" s="2"/>
    </row>
    <row r="244" spans="3:12" ht="15.75" customHeight="1">
      <c r="C244" s="13"/>
      <c r="K244" s="2"/>
      <c r="L244" s="2"/>
    </row>
    <row r="245" spans="3:12" ht="15.75" customHeight="1">
      <c r="C245" s="13"/>
      <c r="K245" s="2"/>
      <c r="L245" s="2"/>
    </row>
    <row r="246" spans="3:12" ht="15.75" customHeight="1">
      <c r="C246" s="13"/>
      <c r="K246" s="2"/>
      <c r="L246" s="2"/>
    </row>
    <row r="247" spans="3:12" ht="15.75" customHeight="1">
      <c r="C247" s="13"/>
      <c r="K247" s="2"/>
      <c r="L247" s="2"/>
    </row>
    <row r="248" spans="3:12" ht="15.75" customHeight="1">
      <c r="C248" s="13"/>
      <c r="K248" s="2"/>
      <c r="L248" s="2"/>
    </row>
    <row r="249" spans="3:12" ht="15.75" customHeight="1">
      <c r="C249" s="13"/>
      <c r="K249" s="2"/>
      <c r="L249" s="2"/>
    </row>
    <row r="250" spans="3:12" ht="15.75" customHeight="1">
      <c r="C250" s="13"/>
      <c r="K250" s="2"/>
      <c r="L250" s="2"/>
    </row>
    <row r="251" spans="3:12" ht="15.75" customHeight="1">
      <c r="C251" s="13"/>
      <c r="K251" s="2"/>
      <c r="L251" s="2"/>
    </row>
    <row r="252" spans="3:12" ht="15.75" customHeight="1">
      <c r="C252" s="13"/>
      <c r="K252" s="2"/>
      <c r="L252" s="2"/>
    </row>
    <row r="253" spans="3:12" ht="15.75" customHeight="1">
      <c r="C253" s="13"/>
      <c r="K253" s="2"/>
      <c r="L253" s="2"/>
    </row>
    <row r="254" spans="3:12" ht="15.75" customHeight="1">
      <c r="C254" s="13"/>
      <c r="K254" s="2"/>
      <c r="L254" s="2"/>
    </row>
    <row r="255" spans="3:12" ht="15.75" customHeight="1">
      <c r="C255" s="13"/>
      <c r="K255" s="2"/>
      <c r="L255" s="2"/>
    </row>
    <row r="256" spans="3:12" ht="15.75" customHeight="1">
      <c r="C256" s="13"/>
      <c r="K256" s="2"/>
      <c r="L256" s="2"/>
    </row>
    <row r="257" spans="3:12" ht="15.75" customHeight="1">
      <c r="C257" s="13"/>
      <c r="K257" s="2"/>
      <c r="L257" s="2"/>
    </row>
    <row r="258" spans="3:12" ht="15.75" customHeight="1">
      <c r="C258" s="13"/>
      <c r="K258" s="2"/>
      <c r="L258" s="2"/>
    </row>
    <row r="259" spans="3:12" ht="15.75" customHeight="1">
      <c r="C259" s="13"/>
      <c r="K259" s="2"/>
      <c r="L259" s="2"/>
    </row>
    <row r="260" spans="3:12" ht="15.75" customHeight="1">
      <c r="C260" s="13"/>
      <c r="K260" s="2"/>
      <c r="L260" s="2"/>
    </row>
    <row r="261" spans="3:12" ht="15.75" customHeight="1">
      <c r="C261" s="13"/>
      <c r="K261" s="2"/>
      <c r="L261" s="2"/>
    </row>
    <row r="262" spans="3:12" ht="15.75" customHeight="1">
      <c r="C262" s="13"/>
      <c r="K262" s="2"/>
      <c r="L262" s="2"/>
    </row>
    <row r="263" spans="3:12" ht="15.75" customHeight="1">
      <c r="C263" s="13"/>
      <c r="K263" s="2"/>
      <c r="L263" s="2"/>
    </row>
    <row r="264" spans="3:12" ht="15.75" customHeight="1">
      <c r="C264" s="13"/>
      <c r="K264" s="2"/>
      <c r="L264" s="2"/>
    </row>
    <row r="265" spans="3:12" ht="15.75" customHeight="1">
      <c r="C265" s="13"/>
      <c r="K265" s="2"/>
      <c r="L265" s="2"/>
    </row>
    <row r="266" spans="3:12" ht="15.75" customHeight="1">
      <c r="C266" s="13"/>
      <c r="K266" s="2"/>
      <c r="L266" s="2"/>
    </row>
    <row r="267" spans="3:12" ht="15.75" customHeight="1">
      <c r="C267" s="13"/>
      <c r="K267" s="2"/>
      <c r="L267" s="2"/>
    </row>
    <row r="268" spans="3:12" ht="15.75" customHeight="1">
      <c r="C268" s="13"/>
      <c r="K268" s="2"/>
      <c r="L268" s="2"/>
    </row>
    <row r="269" spans="3:12" ht="15.75" customHeight="1">
      <c r="C269" s="13"/>
      <c r="K269" s="2"/>
      <c r="L269" s="2"/>
    </row>
    <row r="270" spans="3:12" ht="15.75" customHeight="1">
      <c r="C270" s="13"/>
      <c r="K270" s="2"/>
      <c r="L270" s="2"/>
    </row>
    <row r="271" spans="3:12" ht="15.75" customHeight="1">
      <c r="C271" s="13"/>
      <c r="K271" s="2"/>
      <c r="L271" s="2"/>
    </row>
    <row r="272" spans="3:12" ht="15.75" customHeight="1">
      <c r="C272" s="13"/>
      <c r="K272" s="2"/>
      <c r="L272" s="2"/>
    </row>
    <row r="273" spans="3:12" ht="15.75" customHeight="1">
      <c r="C273" s="13"/>
      <c r="K273" s="2"/>
      <c r="L273" s="2"/>
    </row>
    <row r="274" spans="3:12" ht="15.75" customHeight="1">
      <c r="C274" s="13"/>
      <c r="K274" s="2"/>
      <c r="L274" s="2"/>
    </row>
    <row r="275" spans="3:12" ht="15.75" customHeight="1">
      <c r="C275" s="13"/>
      <c r="K275" s="2"/>
      <c r="L275" s="2"/>
    </row>
    <row r="276" spans="3:12" ht="15.75" customHeight="1">
      <c r="C276" s="13"/>
      <c r="K276" s="2"/>
      <c r="L276" s="2"/>
    </row>
    <row r="277" spans="3:12" ht="15.75" customHeight="1">
      <c r="C277" s="13"/>
      <c r="K277" s="2"/>
      <c r="L277" s="2"/>
    </row>
    <row r="278" spans="3:12" ht="15.75" customHeight="1">
      <c r="C278" s="13"/>
      <c r="K278" s="2"/>
      <c r="L278" s="2"/>
    </row>
    <row r="279" spans="3:12" ht="15.75" customHeight="1">
      <c r="C279" s="13"/>
      <c r="K279" s="2"/>
      <c r="L279" s="2"/>
    </row>
    <row r="280" spans="3:12" ht="15.75" customHeight="1">
      <c r="C280" s="13"/>
      <c r="K280" s="2"/>
      <c r="L280" s="2"/>
    </row>
    <row r="281" spans="3:12" ht="15.75" customHeight="1">
      <c r="C281" s="13"/>
      <c r="K281" s="2"/>
      <c r="L281" s="2"/>
    </row>
    <row r="282" spans="3:12" ht="15.75" customHeight="1">
      <c r="C282" s="13"/>
      <c r="K282" s="2"/>
      <c r="L282" s="2"/>
    </row>
    <row r="283" spans="3:12" ht="15.75" customHeight="1">
      <c r="C283" s="13"/>
      <c r="K283" s="2"/>
      <c r="L283" s="2"/>
    </row>
    <row r="284" spans="3:12" ht="15.75" customHeight="1">
      <c r="C284" s="13"/>
      <c r="K284" s="2"/>
      <c r="L284" s="2"/>
    </row>
    <row r="285" spans="3:12" ht="15.75" customHeight="1">
      <c r="C285" s="13"/>
      <c r="K285" s="2"/>
      <c r="L285" s="2"/>
    </row>
    <row r="286" spans="3:12" ht="15.75" customHeight="1">
      <c r="C286" s="13"/>
      <c r="K286" s="2"/>
      <c r="L286" s="2"/>
    </row>
    <row r="287" spans="3:12" ht="15.75" customHeight="1">
      <c r="C287" s="13"/>
      <c r="K287" s="2"/>
      <c r="L287" s="2"/>
    </row>
    <row r="288" spans="3:12" ht="15.75" customHeight="1">
      <c r="C288" s="13"/>
      <c r="K288" s="2"/>
      <c r="L288" s="2"/>
    </row>
    <row r="289" spans="3:12" ht="15.75" customHeight="1">
      <c r="C289" s="13"/>
      <c r="K289" s="2"/>
      <c r="L289" s="2"/>
    </row>
    <row r="290" spans="3:12" ht="15.75" customHeight="1">
      <c r="C290" s="13"/>
      <c r="K290" s="2"/>
      <c r="L290" s="2"/>
    </row>
    <row r="291" spans="3:12" ht="15.75" customHeight="1">
      <c r="C291" s="13"/>
      <c r="K291" s="2"/>
      <c r="L291" s="2"/>
    </row>
    <row r="292" spans="3:12" ht="15.75" customHeight="1">
      <c r="C292" s="13"/>
      <c r="K292" s="2"/>
      <c r="L292" s="2"/>
    </row>
    <row r="293" spans="3:12" ht="15.75" customHeight="1">
      <c r="C293" s="13"/>
      <c r="K293" s="2"/>
      <c r="L293" s="2"/>
    </row>
    <row r="294" spans="3:12" ht="15.75" customHeight="1">
      <c r="C294" s="13"/>
      <c r="K294" s="2"/>
      <c r="L294" s="2"/>
    </row>
    <row r="295" spans="3:12" ht="15.75" customHeight="1">
      <c r="C295" s="13"/>
      <c r="K295" s="2"/>
      <c r="L295" s="2"/>
    </row>
    <row r="296" spans="3:12" ht="15.75" customHeight="1">
      <c r="C296" s="13"/>
      <c r="K296" s="2"/>
      <c r="L296" s="2"/>
    </row>
    <row r="297" spans="3:12" ht="15.75" customHeight="1">
      <c r="C297" s="13"/>
      <c r="K297" s="2"/>
      <c r="L297" s="2"/>
    </row>
    <row r="298" spans="3:12" ht="15.75" customHeight="1">
      <c r="C298" s="13"/>
      <c r="K298" s="2"/>
      <c r="L298" s="2"/>
    </row>
    <row r="299" spans="3:12" ht="15.75" customHeight="1">
      <c r="C299" s="13"/>
      <c r="K299" s="2"/>
      <c r="L299" s="2"/>
    </row>
    <row r="300" spans="3:12" ht="15.75" customHeight="1">
      <c r="C300" s="13"/>
      <c r="K300" s="2"/>
      <c r="L300" s="2"/>
    </row>
    <row r="301" spans="3:12" ht="15.75" customHeight="1">
      <c r="C301" s="13"/>
      <c r="K301" s="2"/>
      <c r="L301" s="2"/>
    </row>
    <row r="302" spans="3:12" ht="15.75" customHeight="1">
      <c r="C302" s="13"/>
      <c r="K302" s="2"/>
      <c r="L302" s="2"/>
    </row>
    <row r="303" spans="3:12" ht="15.75" customHeight="1">
      <c r="C303" s="13"/>
      <c r="K303" s="2"/>
      <c r="L303" s="2"/>
    </row>
    <row r="304" spans="3:12" ht="15.75" customHeight="1">
      <c r="C304" s="13"/>
      <c r="K304" s="2"/>
      <c r="L304" s="2"/>
    </row>
    <row r="305" spans="3:12" ht="15.75" customHeight="1">
      <c r="C305" s="13"/>
      <c r="K305" s="2"/>
      <c r="L305" s="2"/>
    </row>
    <row r="306" spans="3:12" ht="15.75" customHeight="1">
      <c r="C306" s="13"/>
      <c r="K306" s="2"/>
      <c r="L306" s="2"/>
    </row>
    <row r="307" spans="3:12" ht="15.75" customHeight="1">
      <c r="C307" s="13"/>
      <c r="K307" s="2"/>
      <c r="L307" s="2"/>
    </row>
    <row r="308" spans="3:12" ht="15.75" customHeight="1">
      <c r="C308" s="13"/>
      <c r="K308" s="2"/>
      <c r="L308" s="2"/>
    </row>
    <row r="309" spans="3:12" ht="15.75" customHeight="1">
      <c r="C309" s="13"/>
      <c r="K309" s="2"/>
      <c r="L309" s="2"/>
    </row>
    <row r="310" spans="3:12" ht="15.75" customHeight="1">
      <c r="C310" s="13"/>
      <c r="K310" s="2"/>
      <c r="L310" s="2"/>
    </row>
    <row r="311" spans="3:12" ht="15.75" customHeight="1">
      <c r="C311" s="13"/>
      <c r="K311" s="2"/>
      <c r="L311" s="2"/>
    </row>
    <row r="312" spans="3:12" ht="15.75" customHeight="1">
      <c r="C312" s="13"/>
      <c r="K312" s="2"/>
      <c r="L312" s="2"/>
    </row>
    <row r="313" spans="3:12" ht="15.75" customHeight="1">
      <c r="C313" s="13"/>
      <c r="K313" s="2"/>
      <c r="L313" s="2"/>
    </row>
    <row r="314" spans="3:12" ht="15.75" customHeight="1">
      <c r="C314" s="13"/>
      <c r="K314" s="2"/>
      <c r="L314" s="2"/>
    </row>
    <row r="315" spans="3:12" ht="15.75" customHeight="1">
      <c r="C315" s="13"/>
      <c r="K315" s="2"/>
      <c r="L315" s="2"/>
    </row>
    <row r="316" spans="3:12" ht="15.75" customHeight="1">
      <c r="C316" s="13"/>
      <c r="K316" s="2"/>
      <c r="L316" s="2"/>
    </row>
    <row r="317" spans="3:12" ht="15.75" customHeight="1">
      <c r="C317" s="13"/>
      <c r="K317" s="2"/>
      <c r="L317" s="2"/>
    </row>
    <row r="318" spans="3:12" ht="15.75" customHeight="1">
      <c r="C318" s="13"/>
      <c r="K318" s="2"/>
      <c r="L318" s="2"/>
    </row>
    <row r="319" spans="3:12" ht="15.75" customHeight="1">
      <c r="C319" s="13"/>
      <c r="K319" s="2"/>
      <c r="L319" s="2"/>
    </row>
    <row r="320" spans="3:12" ht="15.75" customHeight="1">
      <c r="C320" s="13"/>
      <c r="K320" s="2"/>
      <c r="L320" s="2"/>
    </row>
    <row r="321" spans="3:12" ht="15.75" customHeight="1">
      <c r="C321" s="13"/>
      <c r="K321" s="2"/>
      <c r="L321" s="2"/>
    </row>
    <row r="322" spans="3:12" ht="15.75" customHeight="1">
      <c r="C322" s="13"/>
      <c r="K322" s="2"/>
      <c r="L322" s="2"/>
    </row>
    <row r="323" spans="3:12" ht="15.75" customHeight="1">
      <c r="C323" s="13"/>
      <c r="K323" s="2"/>
      <c r="L323" s="2"/>
    </row>
    <row r="324" spans="3:12" ht="15.75" customHeight="1">
      <c r="C324" s="13"/>
      <c r="K324" s="2"/>
      <c r="L324" s="2"/>
    </row>
    <row r="325" spans="3:12" ht="15.75" customHeight="1">
      <c r="C325" s="13"/>
      <c r="K325" s="2"/>
      <c r="L325" s="2"/>
    </row>
    <row r="326" spans="3:12" ht="15.75" customHeight="1">
      <c r="C326" s="13"/>
      <c r="K326" s="2"/>
      <c r="L326" s="2"/>
    </row>
    <row r="327" spans="3:12" ht="15.75" customHeight="1">
      <c r="C327" s="13"/>
      <c r="K327" s="2"/>
      <c r="L327" s="2"/>
    </row>
    <row r="328" spans="3:12" ht="15.75" customHeight="1">
      <c r="C328" s="13"/>
      <c r="K328" s="2"/>
      <c r="L328" s="2"/>
    </row>
    <row r="329" spans="3:12" ht="15.75" customHeight="1">
      <c r="C329" s="13"/>
      <c r="K329" s="2"/>
      <c r="L329" s="2"/>
    </row>
    <row r="330" spans="3:12" ht="15.75" customHeight="1">
      <c r="C330" s="13"/>
      <c r="K330" s="2"/>
      <c r="L330" s="2"/>
    </row>
    <row r="331" spans="3:12" ht="15.75" customHeight="1">
      <c r="C331" s="13"/>
      <c r="K331" s="2"/>
      <c r="L331" s="2"/>
    </row>
    <row r="332" spans="3:12" ht="15.75" customHeight="1">
      <c r="C332" s="13"/>
      <c r="K332" s="2"/>
      <c r="L332" s="2"/>
    </row>
    <row r="333" spans="3:12" ht="15.75" customHeight="1">
      <c r="C333" s="13"/>
      <c r="K333" s="2"/>
      <c r="L333" s="2"/>
    </row>
    <row r="334" spans="3:12" ht="15.75" customHeight="1">
      <c r="C334" s="13"/>
      <c r="K334" s="2"/>
      <c r="L334" s="2"/>
    </row>
    <row r="335" spans="3:12" ht="15.75" customHeight="1">
      <c r="C335" s="13"/>
      <c r="K335" s="2"/>
      <c r="L335" s="2"/>
    </row>
    <row r="336" spans="3:12" ht="15.75" customHeight="1">
      <c r="C336" s="13"/>
      <c r="K336" s="2"/>
      <c r="L336" s="2"/>
    </row>
    <row r="337" spans="3:12" ht="15.75" customHeight="1">
      <c r="C337" s="13"/>
      <c r="K337" s="2"/>
      <c r="L337" s="2"/>
    </row>
    <row r="338" spans="3:12" ht="15.75" customHeight="1">
      <c r="C338" s="13"/>
      <c r="K338" s="2"/>
      <c r="L338" s="2"/>
    </row>
    <row r="339" spans="3:12" ht="15.75" customHeight="1">
      <c r="C339" s="13"/>
      <c r="K339" s="2"/>
      <c r="L339" s="2"/>
    </row>
    <row r="340" spans="3:12" ht="15.75" customHeight="1">
      <c r="C340" s="13"/>
      <c r="K340" s="2"/>
      <c r="L340" s="2"/>
    </row>
    <row r="341" spans="3:12" ht="15.75" customHeight="1">
      <c r="C341" s="13"/>
      <c r="K341" s="2"/>
      <c r="L341" s="2"/>
    </row>
    <row r="342" spans="3:12" ht="15.75" customHeight="1">
      <c r="C342" s="13"/>
      <c r="K342" s="2"/>
      <c r="L342" s="2"/>
    </row>
    <row r="343" spans="3:12" ht="15.75" customHeight="1">
      <c r="C343" s="13"/>
      <c r="K343" s="2"/>
      <c r="L343" s="2"/>
    </row>
    <row r="344" spans="3:12" ht="15.75" customHeight="1">
      <c r="C344" s="13"/>
      <c r="K344" s="2"/>
      <c r="L344" s="2"/>
    </row>
    <row r="345" spans="3:12" ht="15.75" customHeight="1">
      <c r="C345" s="13"/>
      <c r="K345" s="2"/>
      <c r="L345" s="2"/>
    </row>
    <row r="346" spans="3:12" ht="15.75" customHeight="1">
      <c r="C346" s="13"/>
      <c r="K346" s="2"/>
      <c r="L346" s="2"/>
    </row>
    <row r="347" spans="3:12" ht="15.75" customHeight="1">
      <c r="C347" s="13"/>
      <c r="K347" s="2"/>
      <c r="L347" s="2"/>
    </row>
    <row r="348" spans="3:12" ht="15.75" customHeight="1">
      <c r="C348" s="13"/>
      <c r="K348" s="2"/>
      <c r="L348" s="2"/>
    </row>
    <row r="349" spans="3:12" ht="15.75" customHeight="1">
      <c r="C349" s="13"/>
      <c r="K349" s="2"/>
      <c r="L349" s="2"/>
    </row>
    <row r="350" spans="3:12" ht="15.75" customHeight="1">
      <c r="C350" s="13"/>
      <c r="K350" s="2"/>
      <c r="L350" s="2"/>
    </row>
    <row r="351" spans="3:12" ht="15.75" customHeight="1">
      <c r="C351" s="13"/>
      <c r="K351" s="2"/>
      <c r="L351" s="2"/>
    </row>
    <row r="352" spans="3:12" ht="15.75" customHeight="1">
      <c r="C352" s="13"/>
      <c r="K352" s="2"/>
      <c r="L352" s="2"/>
    </row>
    <row r="353" spans="3:12" ht="15.75" customHeight="1">
      <c r="C353" s="13"/>
      <c r="K353" s="2"/>
      <c r="L353" s="2"/>
    </row>
    <row r="354" spans="3:12" ht="15.75" customHeight="1">
      <c r="C354" s="13"/>
      <c r="K354" s="2"/>
      <c r="L354" s="2"/>
    </row>
    <row r="355" spans="3:12" ht="15.75" customHeight="1">
      <c r="C355" s="13"/>
      <c r="K355" s="2"/>
      <c r="L355" s="2"/>
    </row>
    <row r="356" spans="3:12" ht="15.75" customHeight="1">
      <c r="C356" s="13"/>
      <c r="K356" s="2"/>
      <c r="L356" s="2"/>
    </row>
    <row r="357" spans="3:12" ht="15.75" customHeight="1">
      <c r="C357" s="13"/>
      <c r="K357" s="2"/>
      <c r="L357" s="2"/>
    </row>
    <row r="358" spans="3:12" ht="15.75" customHeight="1">
      <c r="C358" s="13"/>
      <c r="K358" s="2"/>
      <c r="L358" s="2"/>
    </row>
    <row r="359" spans="3:12" ht="15.75" customHeight="1">
      <c r="C359" s="13"/>
      <c r="K359" s="2"/>
      <c r="L359" s="2"/>
    </row>
    <row r="360" spans="3:12" ht="15.75" customHeight="1">
      <c r="C360" s="13"/>
      <c r="K360" s="2"/>
      <c r="L360" s="2"/>
    </row>
    <row r="361" spans="3:12" ht="15.75" customHeight="1">
      <c r="C361" s="13"/>
      <c r="K361" s="2"/>
      <c r="L361" s="2"/>
    </row>
    <row r="362" spans="3:12" ht="15.75" customHeight="1">
      <c r="C362" s="13"/>
      <c r="K362" s="2"/>
      <c r="L362" s="2"/>
    </row>
    <row r="363" spans="3:12" ht="15.75" customHeight="1">
      <c r="C363" s="13"/>
      <c r="K363" s="2"/>
      <c r="L363" s="2"/>
    </row>
    <row r="364" spans="3:12" ht="15.75" customHeight="1">
      <c r="C364" s="13"/>
      <c r="K364" s="2"/>
      <c r="L364" s="2"/>
    </row>
    <row r="365" spans="3:12" ht="15.75" customHeight="1">
      <c r="C365" s="13"/>
      <c r="K365" s="2"/>
      <c r="L365" s="2"/>
    </row>
    <row r="366" spans="3:12" ht="15.75" customHeight="1">
      <c r="C366" s="13"/>
      <c r="K366" s="2"/>
      <c r="L366" s="2"/>
    </row>
    <row r="367" spans="3:12" ht="15.75" customHeight="1">
      <c r="C367" s="13"/>
      <c r="K367" s="2"/>
      <c r="L367" s="2"/>
    </row>
    <row r="368" spans="3:12" ht="15.75" customHeight="1">
      <c r="C368" s="13"/>
      <c r="K368" s="2"/>
      <c r="L368" s="2"/>
    </row>
    <row r="369" spans="3:12" ht="15.75" customHeight="1">
      <c r="C369" s="13"/>
      <c r="K369" s="2"/>
      <c r="L369" s="2"/>
    </row>
    <row r="370" spans="3:12" ht="15.75" customHeight="1">
      <c r="C370" s="13"/>
      <c r="K370" s="2"/>
      <c r="L370" s="2"/>
    </row>
    <row r="371" spans="3:12" ht="15.75" customHeight="1">
      <c r="C371" s="13"/>
      <c r="K371" s="2"/>
      <c r="L371" s="2"/>
    </row>
    <row r="372" spans="3:12" ht="15.75" customHeight="1">
      <c r="C372" s="13"/>
      <c r="K372" s="2"/>
      <c r="L372" s="2"/>
    </row>
    <row r="373" spans="3:12" ht="15.75" customHeight="1">
      <c r="C373" s="13"/>
      <c r="K373" s="2"/>
      <c r="L373" s="2"/>
    </row>
    <row r="374" spans="3:12" ht="15.75" customHeight="1">
      <c r="C374" s="13"/>
      <c r="K374" s="2"/>
      <c r="L374" s="2"/>
    </row>
    <row r="375" spans="3:12" ht="15.75" customHeight="1">
      <c r="C375" s="13"/>
      <c r="K375" s="2"/>
      <c r="L375" s="2"/>
    </row>
    <row r="376" spans="3:12" ht="15.75" customHeight="1">
      <c r="C376" s="13"/>
      <c r="K376" s="2"/>
      <c r="L376" s="2"/>
    </row>
    <row r="377" spans="3:12" ht="15.75" customHeight="1">
      <c r="C377" s="13"/>
      <c r="K377" s="2"/>
      <c r="L377" s="2"/>
    </row>
    <row r="378" spans="3:12" ht="15.75" customHeight="1">
      <c r="C378" s="13"/>
      <c r="K378" s="2"/>
      <c r="L378" s="2"/>
    </row>
    <row r="379" spans="3:12" ht="15.75" customHeight="1">
      <c r="C379" s="13"/>
      <c r="K379" s="2"/>
      <c r="L379" s="2"/>
    </row>
    <row r="380" spans="3:12" ht="15.75" customHeight="1">
      <c r="C380" s="13"/>
      <c r="K380" s="2"/>
      <c r="L380" s="2"/>
    </row>
    <row r="381" spans="3:12" ht="15.75" customHeight="1">
      <c r="C381" s="13"/>
      <c r="K381" s="2"/>
      <c r="L381" s="2"/>
    </row>
    <row r="382" spans="3:12" ht="15.75" customHeight="1">
      <c r="C382" s="13"/>
      <c r="K382" s="2"/>
      <c r="L382" s="2"/>
    </row>
    <row r="383" spans="3:12" ht="15.75" customHeight="1">
      <c r="C383" s="13"/>
      <c r="K383" s="2"/>
      <c r="L383" s="2"/>
    </row>
    <row r="384" spans="3:12" ht="15.75" customHeight="1">
      <c r="C384" s="13"/>
      <c r="K384" s="2"/>
      <c r="L384" s="2"/>
    </row>
    <row r="385" spans="3:12" ht="15.75" customHeight="1">
      <c r="C385" s="13"/>
      <c r="K385" s="2"/>
      <c r="L385" s="2"/>
    </row>
    <row r="386" spans="3:12" ht="15.75" customHeight="1">
      <c r="C386" s="13"/>
      <c r="K386" s="2"/>
      <c r="L386" s="2"/>
    </row>
    <row r="387" spans="3:12" ht="15.75" customHeight="1">
      <c r="C387" s="13"/>
      <c r="K387" s="2"/>
      <c r="L387" s="2"/>
    </row>
    <row r="388" spans="3:12" ht="15.75" customHeight="1">
      <c r="C388" s="13"/>
      <c r="K388" s="2"/>
      <c r="L388" s="2"/>
    </row>
    <row r="389" spans="3:12" ht="15.75" customHeight="1">
      <c r="C389" s="13"/>
      <c r="K389" s="2"/>
      <c r="L389" s="2"/>
    </row>
    <row r="390" spans="3:12" ht="15.75" customHeight="1">
      <c r="C390" s="13"/>
      <c r="K390" s="2"/>
      <c r="L390" s="2"/>
    </row>
    <row r="391" spans="3:12" ht="15.75" customHeight="1">
      <c r="C391" s="13"/>
      <c r="K391" s="2"/>
      <c r="L391" s="2"/>
    </row>
    <row r="392" spans="3:12" ht="15.75" customHeight="1">
      <c r="C392" s="13"/>
      <c r="K392" s="2"/>
      <c r="L392" s="2"/>
    </row>
    <row r="393" spans="3:12" ht="15.75" customHeight="1">
      <c r="C393" s="13"/>
      <c r="K393" s="2"/>
      <c r="L393" s="2"/>
    </row>
    <row r="394" spans="3:12" ht="15.75" customHeight="1">
      <c r="C394" s="13"/>
      <c r="K394" s="2"/>
      <c r="L394" s="2"/>
    </row>
    <row r="395" spans="3:12" ht="15.75" customHeight="1">
      <c r="C395" s="13"/>
      <c r="K395" s="2"/>
      <c r="L395" s="2"/>
    </row>
    <row r="396" spans="3:12" ht="15.75" customHeight="1">
      <c r="C396" s="13"/>
      <c r="K396" s="2"/>
      <c r="L396" s="2"/>
    </row>
    <row r="397" spans="3:12" ht="15.75" customHeight="1">
      <c r="C397" s="13"/>
      <c r="K397" s="2"/>
      <c r="L397" s="2"/>
    </row>
    <row r="398" spans="3:12" ht="15.75" customHeight="1">
      <c r="C398" s="13"/>
      <c r="K398" s="2"/>
      <c r="L398" s="2"/>
    </row>
    <row r="399" spans="3:12" ht="15.75" customHeight="1">
      <c r="C399" s="13"/>
      <c r="K399" s="2"/>
      <c r="L399" s="2"/>
    </row>
    <row r="400" spans="3:12" ht="15.75" customHeight="1">
      <c r="C400" s="13"/>
      <c r="K400" s="2"/>
      <c r="L400" s="2"/>
    </row>
    <row r="401" spans="3:12" ht="15.75" customHeight="1">
      <c r="C401" s="13"/>
      <c r="K401" s="2"/>
      <c r="L401" s="2"/>
    </row>
    <row r="402" spans="3:12" ht="15.75" customHeight="1">
      <c r="C402" s="13"/>
      <c r="K402" s="2"/>
      <c r="L402" s="2"/>
    </row>
    <row r="403" spans="3:12" ht="15.75" customHeight="1">
      <c r="C403" s="13"/>
      <c r="K403" s="2"/>
      <c r="L403" s="2"/>
    </row>
    <row r="404" spans="3:12" ht="15.75" customHeight="1">
      <c r="C404" s="13"/>
      <c r="K404" s="2"/>
      <c r="L404" s="2"/>
    </row>
    <row r="405" spans="3:12" ht="15.75" customHeight="1">
      <c r="C405" s="13"/>
      <c r="K405" s="2"/>
      <c r="L405" s="2"/>
    </row>
    <row r="406" spans="3:12" ht="15.75" customHeight="1">
      <c r="C406" s="13"/>
      <c r="K406" s="2"/>
      <c r="L406" s="2"/>
    </row>
    <row r="407" spans="3:12" ht="15.75" customHeight="1">
      <c r="C407" s="13"/>
      <c r="K407" s="2"/>
      <c r="L407" s="2"/>
    </row>
    <row r="408" spans="3:12" ht="15.75" customHeight="1">
      <c r="C408" s="13"/>
      <c r="K408" s="2"/>
      <c r="L408" s="2"/>
    </row>
    <row r="409" spans="3:12" ht="15.75" customHeight="1">
      <c r="C409" s="13"/>
      <c r="K409" s="2"/>
      <c r="L409" s="2"/>
    </row>
    <row r="410" spans="3:12" ht="15.75" customHeight="1">
      <c r="C410" s="13"/>
      <c r="K410" s="2"/>
      <c r="L410" s="2"/>
    </row>
    <row r="411" spans="3:12" ht="15.75" customHeight="1">
      <c r="C411" s="13"/>
      <c r="K411" s="2"/>
      <c r="L411" s="2"/>
    </row>
    <row r="412" spans="3:12" ht="15.75" customHeight="1">
      <c r="C412" s="13"/>
      <c r="K412" s="2"/>
      <c r="L412" s="2"/>
    </row>
    <row r="413" spans="3:12" ht="15.75" customHeight="1">
      <c r="C413" s="13"/>
      <c r="K413" s="2"/>
      <c r="L413" s="2"/>
    </row>
    <row r="414" spans="3:12" ht="15.75" customHeight="1">
      <c r="C414" s="13"/>
      <c r="K414" s="2"/>
      <c r="L414" s="2"/>
    </row>
    <row r="415" spans="3:12" ht="15.75" customHeight="1">
      <c r="C415" s="13"/>
      <c r="K415" s="2"/>
      <c r="L415" s="2"/>
    </row>
    <row r="416" spans="3:12" ht="15.75" customHeight="1">
      <c r="C416" s="13"/>
      <c r="K416" s="2"/>
      <c r="L416" s="2"/>
    </row>
    <row r="417" spans="3:12" ht="15.75" customHeight="1">
      <c r="C417" s="13"/>
      <c r="K417" s="2"/>
      <c r="L417" s="2"/>
    </row>
    <row r="418" spans="3:12" ht="15.75" customHeight="1">
      <c r="C418" s="13"/>
      <c r="K418" s="2"/>
      <c r="L418" s="2"/>
    </row>
    <row r="419" spans="3:12" ht="15.75" customHeight="1">
      <c r="C419" s="13"/>
      <c r="K419" s="2"/>
      <c r="L419" s="2"/>
    </row>
    <row r="420" spans="3:12" ht="15.75" customHeight="1">
      <c r="C420" s="13"/>
      <c r="K420" s="2"/>
      <c r="L420" s="2"/>
    </row>
    <row r="421" spans="3:12" ht="15.75" customHeight="1">
      <c r="C421" s="13"/>
      <c r="K421" s="2"/>
      <c r="L421" s="2"/>
    </row>
    <row r="422" spans="3:12" ht="15.75" customHeight="1">
      <c r="C422" s="13"/>
      <c r="K422" s="2"/>
      <c r="L422" s="2"/>
    </row>
    <row r="423" spans="3:12" ht="15.75" customHeight="1">
      <c r="C423" s="13"/>
      <c r="K423" s="2"/>
      <c r="L423" s="2"/>
    </row>
    <row r="424" spans="3:12" ht="15.75" customHeight="1">
      <c r="C424" s="13"/>
      <c r="K424" s="2"/>
      <c r="L424" s="2"/>
    </row>
    <row r="425" spans="3:12" ht="15.75" customHeight="1">
      <c r="C425" s="13"/>
      <c r="K425" s="2"/>
      <c r="L425" s="2"/>
    </row>
    <row r="426" spans="3:12" ht="15.75" customHeight="1">
      <c r="C426" s="13"/>
      <c r="K426" s="2"/>
      <c r="L426" s="2"/>
    </row>
    <row r="427" spans="3:12" ht="15.75" customHeight="1">
      <c r="C427" s="13"/>
      <c r="K427" s="2"/>
      <c r="L427" s="2"/>
    </row>
    <row r="428" spans="3:12" ht="15.75" customHeight="1">
      <c r="C428" s="13"/>
      <c r="K428" s="2"/>
      <c r="L428" s="2"/>
    </row>
    <row r="429" spans="3:12" ht="15.75" customHeight="1">
      <c r="C429" s="13"/>
      <c r="K429" s="2"/>
      <c r="L429" s="2"/>
    </row>
    <row r="430" spans="3:12" ht="15.75" customHeight="1">
      <c r="C430" s="13"/>
      <c r="K430" s="2"/>
      <c r="L430" s="2"/>
    </row>
    <row r="431" spans="3:12" ht="15.75" customHeight="1">
      <c r="C431" s="13"/>
      <c r="K431" s="2"/>
      <c r="L431" s="2"/>
    </row>
    <row r="432" spans="3:12" ht="15.75" customHeight="1">
      <c r="C432" s="13"/>
      <c r="K432" s="2"/>
      <c r="L432" s="2"/>
    </row>
    <row r="433" spans="3:12" ht="15.75" customHeight="1">
      <c r="C433" s="13"/>
      <c r="K433" s="2"/>
      <c r="L433" s="2"/>
    </row>
    <row r="434" spans="3:12" ht="15.75" customHeight="1">
      <c r="C434" s="13"/>
      <c r="K434" s="2"/>
      <c r="L434" s="2"/>
    </row>
    <row r="435" spans="3:12" ht="15.75" customHeight="1">
      <c r="C435" s="13"/>
      <c r="K435" s="2"/>
      <c r="L435" s="2"/>
    </row>
    <row r="436" spans="3:12" ht="15.75" customHeight="1">
      <c r="C436" s="13"/>
      <c r="K436" s="2"/>
      <c r="L436" s="2"/>
    </row>
    <row r="437" spans="3:12" ht="15.75" customHeight="1">
      <c r="C437" s="13"/>
      <c r="K437" s="2"/>
      <c r="L437" s="2"/>
    </row>
    <row r="438" spans="3:12" ht="15.75" customHeight="1">
      <c r="C438" s="13"/>
      <c r="K438" s="2"/>
      <c r="L438" s="2"/>
    </row>
    <row r="439" spans="3:12" ht="15.75" customHeight="1">
      <c r="C439" s="13"/>
      <c r="K439" s="2"/>
      <c r="L439" s="2"/>
    </row>
    <row r="440" spans="3:12" ht="15.75" customHeight="1">
      <c r="C440" s="13"/>
      <c r="K440" s="2"/>
      <c r="L440" s="2"/>
    </row>
    <row r="441" spans="3:12" ht="15.75" customHeight="1">
      <c r="C441" s="13"/>
      <c r="K441" s="2"/>
      <c r="L441" s="2"/>
    </row>
    <row r="442" spans="3:12" ht="15.75" customHeight="1">
      <c r="C442" s="13"/>
      <c r="K442" s="2"/>
      <c r="L442" s="2"/>
    </row>
    <row r="443" spans="3:12" ht="15.75" customHeight="1">
      <c r="C443" s="13"/>
      <c r="K443" s="2"/>
      <c r="L443" s="2"/>
    </row>
    <row r="444" spans="3:12" ht="15.75" customHeight="1">
      <c r="C444" s="13"/>
      <c r="K444" s="2"/>
      <c r="L444" s="2"/>
    </row>
    <row r="445" spans="3:12" ht="15.75" customHeight="1">
      <c r="C445" s="13"/>
      <c r="K445" s="2"/>
      <c r="L445" s="2"/>
    </row>
    <row r="446" spans="3:12" ht="15.75" customHeight="1">
      <c r="C446" s="13"/>
      <c r="K446" s="2"/>
      <c r="L446" s="2"/>
    </row>
    <row r="447" spans="3:12" ht="15.75" customHeight="1">
      <c r="C447" s="13"/>
      <c r="K447" s="2"/>
      <c r="L447" s="2"/>
    </row>
    <row r="448" spans="3:12" ht="15.75" customHeight="1">
      <c r="C448" s="13"/>
      <c r="K448" s="2"/>
      <c r="L448" s="2"/>
    </row>
    <row r="449" spans="3:12" ht="15.75" customHeight="1">
      <c r="C449" s="13"/>
      <c r="K449" s="2"/>
      <c r="L449" s="2"/>
    </row>
    <row r="450" spans="3:12" ht="15.75" customHeight="1">
      <c r="C450" s="13"/>
      <c r="K450" s="2"/>
      <c r="L450" s="2"/>
    </row>
    <row r="451" spans="3:12" ht="15.75" customHeight="1">
      <c r="C451" s="13"/>
      <c r="K451" s="2"/>
      <c r="L451" s="2"/>
    </row>
    <row r="452" spans="3:12" ht="15.75" customHeight="1">
      <c r="C452" s="13"/>
      <c r="K452" s="2"/>
      <c r="L452" s="2"/>
    </row>
    <row r="453" spans="3:12" ht="15.75" customHeight="1">
      <c r="C453" s="13"/>
      <c r="K453" s="2"/>
      <c r="L453" s="2"/>
    </row>
    <row r="454" spans="3:12" ht="15.75" customHeight="1">
      <c r="C454" s="13"/>
      <c r="K454" s="2"/>
      <c r="L454" s="2"/>
    </row>
    <row r="455" spans="3:12" ht="15.75" customHeight="1">
      <c r="C455" s="13"/>
      <c r="K455" s="2"/>
      <c r="L455" s="2"/>
    </row>
    <row r="456" spans="3:12" ht="15.75" customHeight="1">
      <c r="C456" s="13"/>
      <c r="K456" s="2"/>
      <c r="L456" s="2"/>
    </row>
    <row r="457" spans="3:12" ht="15.75" customHeight="1">
      <c r="C457" s="13"/>
      <c r="K457" s="2"/>
      <c r="L457" s="2"/>
    </row>
    <row r="458" spans="3:12" ht="15.75" customHeight="1">
      <c r="C458" s="13"/>
      <c r="K458" s="2"/>
      <c r="L458" s="2"/>
    </row>
    <row r="459" spans="3:12" ht="15.75" customHeight="1">
      <c r="C459" s="13"/>
      <c r="K459" s="2"/>
      <c r="L459" s="2"/>
    </row>
    <row r="460" spans="3:12" ht="15.75" customHeight="1">
      <c r="C460" s="13"/>
      <c r="K460" s="2"/>
      <c r="L460" s="2"/>
    </row>
    <row r="461" spans="3:12" ht="15.75" customHeight="1">
      <c r="C461" s="13"/>
      <c r="K461" s="2"/>
      <c r="L461" s="2"/>
    </row>
    <row r="462" spans="3:12" ht="15.75" customHeight="1">
      <c r="C462" s="13"/>
      <c r="K462" s="2"/>
      <c r="L462" s="2"/>
    </row>
    <row r="463" spans="3:12" ht="15.75" customHeight="1">
      <c r="C463" s="13"/>
      <c r="K463" s="2"/>
      <c r="L463" s="2"/>
    </row>
    <row r="464" spans="3:12" ht="15.75" customHeight="1">
      <c r="C464" s="13"/>
      <c r="K464" s="2"/>
      <c r="L464" s="2"/>
    </row>
    <row r="465" spans="3:12" ht="15.75" customHeight="1">
      <c r="C465" s="13"/>
      <c r="K465" s="2"/>
      <c r="L465" s="2"/>
    </row>
    <row r="466" spans="3:12" ht="15.75" customHeight="1">
      <c r="C466" s="13"/>
      <c r="K466" s="2"/>
      <c r="L466" s="2"/>
    </row>
    <row r="467" spans="3:12" ht="15.75" customHeight="1">
      <c r="C467" s="13"/>
      <c r="K467" s="2"/>
      <c r="L467" s="2"/>
    </row>
    <row r="468" spans="3:12" ht="15.75" customHeight="1">
      <c r="C468" s="13"/>
      <c r="K468" s="2"/>
      <c r="L468" s="2"/>
    </row>
    <row r="469" spans="3:12" ht="15.75" customHeight="1">
      <c r="C469" s="13"/>
      <c r="K469" s="2"/>
      <c r="L469" s="2"/>
    </row>
    <row r="470" spans="3:12" ht="15.75" customHeight="1">
      <c r="C470" s="13"/>
      <c r="K470" s="2"/>
      <c r="L470" s="2"/>
    </row>
    <row r="471" spans="3:12" ht="15.75" customHeight="1">
      <c r="C471" s="13"/>
      <c r="K471" s="2"/>
      <c r="L471" s="2"/>
    </row>
    <row r="472" spans="3:12" ht="15.75" customHeight="1">
      <c r="C472" s="13"/>
      <c r="K472" s="2"/>
      <c r="L472" s="2"/>
    </row>
    <row r="473" spans="3:12" ht="15.75" customHeight="1">
      <c r="C473" s="13"/>
      <c r="K473" s="2"/>
      <c r="L473" s="2"/>
    </row>
    <row r="474" spans="3:12" ht="15.75" customHeight="1">
      <c r="C474" s="13"/>
      <c r="K474" s="2"/>
      <c r="L474" s="2"/>
    </row>
    <row r="475" spans="3:12" ht="15.75" customHeight="1">
      <c r="C475" s="13"/>
      <c r="K475" s="2"/>
      <c r="L475" s="2"/>
    </row>
    <row r="476" spans="3:12" ht="15.75" customHeight="1">
      <c r="C476" s="13"/>
      <c r="K476" s="2"/>
      <c r="L476" s="2"/>
    </row>
    <row r="477" spans="3:12" ht="15.75" customHeight="1">
      <c r="C477" s="13"/>
      <c r="K477" s="2"/>
      <c r="L477" s="2"/>
    </row>
    <row r="478" spans="3:12" ht="15.75" customHeight="1">
      <c r="C478" s="13"/>
      <c r="K478" s="2"/>
      <c r="L478" s="2"/>
    </row>
    <row r="479" spans="3:12" ht="15.75" customHeight="1">
      <c r="C479" s="13"/>
      <c r="K479" s="2"/>
      <c r="L479" s="2"/>
    </row>
    <row r="480" spans="3:12" ht="15.75" customHeight="1">
      <c r="C480" s="13"/>
      <c r="K480" s="2"/>
      <c r="L480" s="2"/>
    </row>
    <row r="481" spans="3:12" ht="15.75" customHeight="1">
      <c r="C481" s="13"/>
      <c r="K481" s="2"/>
      <c r="L481" s="2"/>
    </row>
    <row r="482" spans="3:12" ht="15.75" customHeight="1">
      <c r="C482" s="13"/>
      <c r="K482" s="2"/>
      <c r="L482" s="2"/>
    </row>
    <row r="483" spans="3:12" ht="15.75" customHeight="1">
      <c r="C483" s="13"/>
      <c r="K483" s="2"/>
      <c r="L483" s="2"/>
    </row>
    <row r="484" spans="3:12" ht="15.75" customHeight="1">
      <c r="C484" s="13"/>
      <c r="K484" s="2"/>
      <c r="L484" s="2"/>
    </row>
    <row r="485" spans="3:12" ht="15.75" customHeight="1">
      <c r="C485" s="13"/>
      <c r="K485" s="2"/>
      <c r="L485" s="2"/>
    </row>
    <row r="486" spans="3:12" ht="15.75" customHeight="1">
      <c r="C486" s="13"/>
      <c r="K486" s="2"/>
      <c r="L486" s="2"/>
    </row>
    <row r="487" spans="3:12" ht="15.75" customHeight="1">
      <c r="C487" s="13"/>
      <c r="K487" s="2"/>
      <c r="L487" s="2"/>
    </row>
    <row r="488" spans="3:12" ht="15.75" customHeight="1">
      <c r="C488" s="13"/>
      <c r="K488" s="2"/>
      <c r="L488" s="2"/>
    </row>
    <row r="489" spans="3:12" ht="15.75" customHeight="1">
      <c r="C489" s="13"/>
      <c r="K489" s="2"/>
      <c r="L489" s="2"/>
    </row>
    <row r="490" spans="3:12" ht="15.75" customHeight="1">
      <c r="C490" s="13"/>
      <c r="K490" s="2"/>
      <c r="L490" s="2"/>
    </row>
    <row r="491" spans="3:12" ht="15.75" customHeight="1">
      <c r="C491" s="13"/>
      <c r="K491" s="2"/>
      <c r="L491" s="2"/>
    </row>
    <row r="492" spans="3:12" ht="15.75" customHeight="1">
      <c r="C492" s="13"/>
      <c r="K492" s="2"/>
      <c r="L492" s="2"/>
    </row>
    <row r="493" spans="3:12" ht="15.75" customHeight="1">
      <c r="C493" s="13"/>
      <c r="K493" s="2"/>
      <c r="L493" s="2"/>
    </row>
    <row r="494" spans="3:12" ht="15.75" customHeight="1">
      <c r="C494" s="13"/>
      <c r="K494" s="2"/>
      <c r="L494" s="2"/>
    </row>
    <row r="495" spans="3:12" ht="15.75" customHeight="1">
      <c r="C495" s="13"/>
      <c r="K495" s="2"/>
      <c r="L495" s="2"/>
    </row>
    <row r="496" spans="3:12" ht="15.75" customHeight="1">
      <c r="C496" s="13"/>
      <c r="K496" s="2"/>
      <c r="L496" s="2"/>
    </row>
    <row r="497" spans="3:12" ht="15.75" customHeight="1">
      <c r="C497" s="13"/>
      <c r="K497" s="2"/>
      <c r="L497" s="2"/>
    </row>
    <row r="498" spans="3:12" ht="15.75" customHeight="1">
      <c r="C498" s="13"/>
      <c r="K498" s="2"/>
      <c r="L498" s="2"/>
    </row>
    <row r="499" spans="3:12" ht="15.75" customHeight="1">
      <c r="C499" s="13"/>
      <c r="K499" s="2"/>
      <c r="L499" s="2"/>
    </row>
    <row r="500" spans="3:12" ht="15.75" customHeight="1">
      <c r="C500" s="13"/>
      <c r="K500" s="2"/>
      <c r="L500" s="2"/>
    </row>
    <row r="501" spans="3:12" ht="15.75" customHeight="1">
      <c r="C501" s="13"/>
      <c r="K501" s="2"/>
      <c r="L501" s="2"/>
    </row>
    <row r="502" spans="3:12" ht="15.75" customHeight="1">
      <c r="C502" s="13"/>
      <c r="K502" s="2"/>
      <c r="L502" s="2"/>
    </row>
    <row r="503" spans="3:12" ht="15.75" customHeight="1">
      <c r="C503" s="13"/>
      <c r="K503" s="2"/>
      <c r="L503" s="2"/>
    </row>
    <row r="504" spans="3:12" ht="15.75" customHeight="1">
      <c r="C504" s="13"/>
      <c r="K504" s="2"/>
      <c r="L504" s="2"/>
    </row>
    <row r="505" spans="3:12" ht="15.75" customHeight="1">
      <c r="C505" s="13"/>
      <c r="K505" s="2"/>
      <c r="L505" s="2"/>
    </row>
    <row r="506" spans="3:12" ht="15.75" customHeight="1">
      <c r="C506" s="13"/>
      <c r="K506" s="2"/>
      <c r="L506" s="2"/>
    </row>
    <row r="507" spans="3:12" ht="15.75" customHeight="1">
      <c r="C507" s="13"/>
      <c r="K507" s="2"/>
      <c r="L507" s="2"/>
    </row>
    <row r="508" spans="3:12" ht="15.75" customHeight="1">
      <c r="C508" s="13"/>
      <c r="K508" s="2"/>
      <c r="L508" s="2"/>
    </row>
    <row r="509" spans="3:12" ht="15.75" customHeight="1">
      <c r="C509" s="13"/>
      <c r="K509" s="2"/>
      <c r="L509" s="2"/>
    </row>
    <row r="510" spans="3:12" ht="15.75" customHeight="1">
      <c r="C510" s="13"/>
      <c r="K510" s="2"/>
      <c r="L510" s="2"/>
    </row>
    <row r="511" spans="3:12" ht="15.75" customHeight="1">
      <c r="C511" s="13"/>
      <c r="K511" s="2"/>
      <c r="L511" s="2"/>
    </row>
    <row r="512" spans="3:12" ht="15.75" customHeight="1">
      <c r="C512" s="13"/>
      <c r="K512" s="2"/>
      <c r="L512" s="2"/>
    </row>
    <row r="513" spans="3:12" ht="15.75" customHeight="1">
      <c r="C513" s="13"/>
      <c r="K513" s="2"/>
      <c r="L513" s="2"/>
    </row>
    <row r="514" spans="3:12" ht="15.75" customHeight="1">
      <c r="C514" s="13"/>
      <c r="K514" s="2"/>
      <c r="L514" s="2"/>
    </row>
    <row r="515" spans="3:12" ht="15.75" customHeight="1">
      <c r="C515" s="13"/>
      <c r="K515" s="2"/>
      <c r="L515" s="2"/>
    </row>
    <row r="516" spans="3:12" ht="15.75" customHeight="1">
      <c r="C516" s="13"/>
      <c r="K516" s="2"/>
      <c r="L516" s="2"/>
    </row>
    <row r="517" spans="3:12" ht="15.75" customHeight="1">
      <c r="C517" s="13"/>
      <c r="K517" s="2"/>
      <c r="L517" s="2"/>
    </row>
    <row r="518" spans="3:12" ht="15.75" customHeight="1">
      <c r="C518" s="13"/>
      <c r="K518" s="2"/>
      <c r="L518" s="2"/>
    </row>
    <row r="519" spans="3:12" ht="15.75" customHeight="1">
      <c r="C519" s="13"/>
      <c r="K519" s="2"/>
      <c r="L519" s="2"/>
    </row>
    <row r="520" spans="3:12" ht="15.75" customHeight="1">
      <c r="C520" s="13"/>
      <c r="K520" s="2"/>
      <c r="L520" s="2"/>
    </row>
    <row r="521" spans="3:12" ht="15.75" customHeight="1">
      <c r="C521" s="13"/>
      <c r="K521" s="2"/>
      <c r="L521" s="2"/>
    </row>
    <row r="522" spans="3:12" ht="15.75" customHeight="1">
      <c r="C522" s="13"/>
      <c r="K522" s="2"/>
      <c r="L522" s="2"/>
    </row>
    <row r="523" spans="3:12" ht="15.75" customHeight="1">
      <c r="C523" s="13"/>
      <c r="K523" s="2"/>
      <c r="L523" s="2"/>
    </row>
    <row r="524" spans="3:12" ht="15.75" customHeight="1">
      <c r="C524" s="13"/>
      <c r="K524" s="2"/>
      <c r="L524" s="2"/>
    </row>
    <row r="525" spans="3:12" ht="15.75" customHeight="1">
      <c r="C525" s="13"/>
      <c r="K525" s="2"/>
      <c r="L525" s="2"/>
    </row>
    <row r="526" spans="3:12" ht="15.75" customHeight="1">
      <c r="C526" s="13"/>
      <c r="K526" s="2"/>
      <c r="L526" s="2"/>
    </row>
    <row r="527" spans="3:12" ht="15.75" customHeight="1">
      <c r="C527" s="13"/>
      <c r="K527" s="2"/>
      <c r="L527" s="2"/>
    </row>
    <row r="528" spans="3:12" ht="15.75" customHeight="1">
      <c r="C528" s="13"/>
      <c r="K528" s="2"/>
      <c r="L528" s="2"/>
    </row>
    <row r="529" spans="3:12" ht="15.75" customHeight="1">
      <c r="C529" s="13"/>
      <c r="K529" s="2"/>
      <c r="L529" s="2"/>
    </row>
    <row r="530" spans="3:12" ht="15.75" customHeight="1">
      <c r="C530" s="13"/>
      <c r="K530" s="2"/>
      <c r="L530" s="2"/>
    </row>
    <row r="531" spans="3:12" ht="15.75" customHeight="1">
      <c r="C531" s="13"/>
      <c r="K531" s="2"/>
      <c r="L531" s="2"/>
    </row>
    <row r="532" spans="3:12" ht="15.75" customHeight="1">
      <c r="C532" s="13"/>
      <c r="K532" s="2"/>
      <c r="L532" s="2"/>
    </row>
    <row r="533" spans="3:12" ht="15.75" customHeight="1">
      <c r="C533" s="13"/>
      <c r="K533" s="2"/>
      <c r="L533" s="2"/>
    </row>
    <row r="534" spans="3:12" ht="15.75" customHeight="1">
      <c r="C534" s="13"/>
      <c r="K534" s="2"/>
      <c r="L534" s="2"/>
    </row>
    <row r="535" spans="3:12" ht="15.75" customHeight="1">
      <c r="C535" s="13"/>
      <c r="K535" s="2"/>
      <c r="L535" s="2"/>
    </row>
    <row r="536" spans="3:12" ht="15.75" customHeight="1">
      <c r="C536" s="13"/>
      <c r="K536" s="2"/>
      <c r="L536" s="2"/>
    </row>
    <row r="537" spans="3:12" ht="15.75" customHeight="1">
      <c r="C537" s="13"/>
      <c r="K537" s="2"/>
      <c r="L537" s="2"/>
    </row>
    <row r="538" spans="3:12" ht="15.75" customHeight="1">
      <c r="C538" s="13"/>
      <c r="K538" s="2"/>
      <c r="L538" s="2"/>
    </row>
    <row r="539" spans="3:12" ht="15.75" customHeight="1">
      <c r="C539" s="13"/>
      <c r="K539" s="2"/>
      <c r="L539" s="2"/>
    </row>
    <row r="540" spans="3:12" ht="15.75" customHeight="1">
      <c r="C540" s="13"/>
      <c r="K540" s="2"/>
      <c r="L540" s="2"/>
    </row>
    <row r="541" spans="3:12" ht="15.75" customHeight="1">
      <c r="C541" s="13"/>
      <c r="K541" s="2"/>
      <c r="L541" s="2"/>
    </row>
    <row r="542" spans="3:12" ht="15.75" customHeight="1">
      <c r="C542" s="13"/>
      <c r="K542" s="2"/>
      <c r="L542" s="2"/>
    </row>
    <row r="543" spans="3:12" ht="15.75" customHeight="1">
      <c r="C543" s="13"/>
      <c r="K543" s="2"/>
      <c r="L543" s="2"/>
    </row>
    <row r="544" spans="3:12" ht="15.75" customHeight="1">
      <c r="C544" s="13"/>
      <c r="K544" s="2"/>
      <c r="L544" s="2"/>
    </row>
    <row r="545" spans="3:12" ht="15.75" customHeight="1">
      <c r="C545" s="13"/>
      <c r="K545" s="2"/>
      <c r="L545" s="2"/>
    </row>
    <row r="546" spans="3:12" ht="15.75" customHeight="1">
      <c r="C546" s="13"/>
      <c r="K546" s="2"/>
      <c r="L546" s="2"/>
    </row>
    <row r="547" spans="3:12" ht="15.75" customHeight="1">
      <c r="C547" s="13"/>
      <c r="K547" s="2"/>
      <c r="L547" s="2"/>
    </row>
    <row r="548" spans="3:12" ht="15.75" customHeight="1">
      <c r="C548" s="13"/>
      <c r="K548" s="2"/>
      <c r="L548" s="2"/>
    </row>
    <row r="549" spans="3:12" ht="15.75" customHeight="1">
      <c r="C549" s="13"/>
      <c r="K549" s="2"/>
      <c r="L549" s="2"/>
    </row>
    <row r="550" spans="3:12" ht="15.75" customHeight="1">
      <c r="C550" s="13"/>
      <c r="K550" s="2"/>
      <c r="L550" s="2"/>
    </row>
    <row r="551" spans="3:12" ht="15.75" customHeight="1">
      <c r="C551" s="13"/>
      <c r="K551" s="2"/>
      <c r="L551" s="2"/>
    </row>
    <row r="552" spans="3:12" ht="15.75" customHeight="1">
      <c r="C552" s="13"/>
      <c r="K552" s="2"/>
      <c r="L552" s="2"/>
    </row>
    <row r="553" spans="3:12" ht="15.75" customHeight="1">
      <c r="C553" s="13"/>
      <c r="K553" s="2"/>
      <c r="L553" s="2"/>
    </row>
    <row r="554" spans="3:12" ht="15.75" customHeight="1">
      <c r="C554" s="13"/>
      <c r="K554" s="2"/>
      <c r="L554" s="2"/>
    </row>
    <row r="555" spans="3:12" ht="15.75" customHeight="1">
      <c r="C555" s="13"/>
      <c r="K555" s="2"/>
      <c r="L555" s="2"/>
    </row>
    <row r="556" spans="3:12" ht="15.75" customHeight="1">
      <c r="C556" s="13"/>
      <c r="K556" s="2"/>
      <c r="L556" s="2"/>
    </row>
    <row r="557" spans="3:12" ht="15.75" customHeight="1">
      <c r="C557" s="13"/>
      <c r="K557" s="2"/>
      <c r="L557" s="2"/>
    </row>
    <row r="558" spans="3:12" ht="15.75" customHeight="1">
      <c r="C558" s="13"/>
      <c r="K558" s="2"/>
      <c r="L558" s="2"/>
    </row>
    <row r="559" spans="3:12" ht="15.75" customHeight="1">
      <c r="C559" s="13"/>
      <c r="K559" s="2"/>
      <c r="L559" s="2"/>
    </row>
    <row r="560" spans="3:12" ht="15.75" customHeight="1">
      <c r="C560" s="13"/>
      <c r="K560" s="2"/>
      <c r="L560" s="2"/>
    </row>
    <row r="561" spans="3:12" ht="15.75" customHeight="1">
      <c r="C561" s="13"/>
      <c r="K561" s="2"/>
      <c r="L561" s="2"/>
    </row>
    <row r="562" spans="3:12" ht="15.75" customHeight="1">
      <c r="C562" s="13"/>
      <c r="K562" s="2"/>
      <c r="L562" s="2"/>
    </row>
    <row r="563" spans="3:12" ht="15.75" customHeight="1">
      <c r="C563" s="13"/>
      <c r="K563" s="2"/>
      <c r="L563" s="2"/>
    </row>
    <row r="564" spans="3:12" ht="15.75" customHeight="1">
      <c r="C564" s="13"/>
      <c r="K564" s="2"/>
      <c r="L564" s="2"/>
    </row>
    <row r="565" spans="3:12" ht="15.75" customHeight="1">
      <c r="C565" s="13"/>
      <c r="K565" s="2"/>
      <c r="L565" s="2"/>
    </row>
    <row r="566" spans="3:12" ht="15.75" customHeight="1">
      <c r="C566" s="13"/>
      <c r="K566" s="2"/>
      <c r="L566" s="2"/>
    </row>
    <row r="567" spans="3:12" ht="15.75" customHeight="1">
      <c r="C567" s="13"/>
      <c r="K567" s="2"/>
      <c r="L567" s="2"/>
    </row>
    <row r="568" spans="3:12" ht="15.75" customHeight="1">
      <c r="C568" s="13"/>
      <c r="K568" s="2"/>
      <c r="L568" s="2"/>
    </row>
    <row r="569" spans="3:12" ht="15.75" customHeight="1">
      <c r="C569" s="13"/>
      <c r="K569" s="2"/>
      <c r="L569" s="2"/>
    </row>
    <row r="570" spans="3:12" ht="15.75" customHeight="1">
      <c r="C570" s="13"/>
      <c r="K570" s="2"/>
      <c r="L570" s="2"/>
    </row>
    <row r="571" spans="3:12" ht="15.75" customHeight="1">
      <c r="C571" s="13"/>
      <c r="K571" s="2"/>
      <c r="L571" s="2"/>
    </row>
    <row r="572" spans="3:12" ht="15.75" customHeight="1">
      <c r="C572" s="13"/>
      <c r="K572" s="2"/>
      <c r="L572" s="2"/>
    </row>
    <row r="573" spans="3:12" ht="15.75" customHeight="1">
      <c r="C573" s="13"/>
      <c r="K573" s="2"/>
      <c r="L573" s="2"/>
    </row>
    <row r="574" spans="3:12" ht="15.75" customHeight="1">
      <c r="C574" s="13"/>
      <c r="K574" s="2"/>
      <c r="L574" s="2"/>
    </row>
    <row r="575" spans="3:12" ht="15.75" customHeight="1">
      <c r="C575" s="13"/>
      <c r="K575" s="2"/>
      <c r="L575" s="2"/>
    </row>
    <row r="576" spans="3:12" ht="15.75" customHeight="1">
      <c r="C576" s="13"/>
      <c r="K576" s="2"/>
      <c r="L576" s="2"/>
    </row>
    <row r="577" spans="3:12" ht="15.75" customHeight="1">
      <c r="C577" s="13"/>
      <c r="K577" s="2"/>
      <c r="L577" s="2"/>
    </row>
    <row r="578" spans="3:12" ht="15.75" customHeight="1">
      <c r="C578" s="13"/>
      <c r="K578" s="2"/>
      <c r="L578" s="2"/>
    </row>
    <row r="579" spans="3:12" ht="15.75" customHeight="1">
      <c r="C579" s="13"/>
      <c r="K579" s="2"/>
      <c r="L579" s="2"/>
    </row>
    <row r="580" spans="3:12" ht="15.75" customHeight="1">
      <c r="C580" s="13"/>
      <c r="K580" s="2"/>
      <c r="L580" s="2"/>
    </row>
    <row r="581" spans="3:12" ht="15.75" customHeight="1">
      <c r="C581" s="13"/>
      <c r="K581" s="2"/>
      <c r="L581" s="2"/>
    </row>
    <row r="582" spans="3:12" ht="15.75" customHeight="1">
      <c r="C582" s="13"/>
      <c r="K582" s="2"/>
      <c r="L582" s="2"/>
    </row>
    <row r="583" spans="3:12" ht="15.75" customHeight="1">
      <c r="C583" s="13"/>
      <c r="K583" s="2"/>
      <c r="L583" s="2"/>
    </row>
    <row r="584" spans="3:12" ht="15.75" customHeight="1">
      <c r="C584" s="13"/>
      <c r="K584" s="2"/>
      <c r="L584" s="2"/>
    </row>
    <row r="585" spans="3:12" ht="15.75" customHeight="1">
      <c r="C585" s="13"/>
      <c r="K585" s="2"/>
      <c r="L585" s="2"/>
    </row>
    <row r="586" spans="3:12" ht="15.75" customHeight="1">
      <c r="C586" s="13"/>
      <c r="K586" s="2"/>
      <c r="L586" s="2"/>
    </row>
    <row r="587" spans="3:12" ht="15.75" customHeight="1">
      <c r="C587" s="13"/>
      <c r="K587" s="2"/>
      <c r="L587" s="2"/>
    </row>
    <row r="588" spans="3:12" ht="15.75" customHeight="1">
      <c r="C588" s="13"/>
      <c r="K588" s="2"/>
      <c r="L588" s="2"/>
    </row>
    <row r="589" spans="3:12" ht="15.75" customHeight="1">
      <c r="C589" s="13"/>
      <c r="K589" s="2"/>
      <c r="L589" s="2"/>
    </row>
    <row r="590" spans="3:12" ht="15.75" customHeight="1">
      <c r="C590" s="13"/>
      <c r="K590" s="2"/>
      <c r="L590" s="2"/>
    </row>
    <row r="591" spans="3:12" ht="15.75" customHeight="1">
      <c r="C591" s="13"/>
      <c r="K591" s="2"/>
      <c r="L591" s="2"/>
    </row>
    <row r="592" spans="3:12" ht="15.75" customHeight="1">
      <c r="C592" s="13"/>
      <c r="K592" s="2"/>
      <c r="L592" s="2"/>
    </row>
    <row r="593" spans="3:12" ht="15.75" customHeight="1">
      <c r="C593" s="13"/>
      <c r="K593" s="2"/>
      <c r="L593" s="2"/>
    </row>
    <row r="594" spans="3:12" ht="15.75" customHeight="1">
      <c r="C594" s="13"/>
      <c r="K594" s="2"/>
      <c r="L594" s="2"/>
    </row>
    <row r="595" spans="3:12" ht="15.75" customHeight="1">
      <c r="C595" s="13"/>
      <c r="K595" s="2"/>
      <c r="L595" s="2"/>
    </row>
    <row r="596" spans="3:12" ht="15.75" customHeight="1">
      <c r="C596" s="13"/>
      <c r="K596" s="2"/>
      <c r="L596" s="2"/>
    </row>
    <row r="597" spans="3:12" ht="15.75" customHeight="1">
      <c r="C597" s="13"/>
      <c r="K597" s="2"/>
      <c r="L597" s="2"/>
    </row>
    <row r="598" spans="3:12" ht="15.75" customHeight="1">
      <c r="C598" s="13"/>
      <c r="K598" s="2"/>
      <c r="L598" s="2"/>
    </row>
    <row r="599" spans="3:12" ht="15.75" customHeight="1">
      <c r="C599" s="13"/>
      <c r="K599" s="2"/>
      <c r="L599" s="2"/>
    </row>
    <row r="600" spans="3:12" ht="15.75" customHeight="1">
      <c r="C600" s="13"/>
      <c r="K600" s="2"/>
      <c r="L600" s="2"/>
    </row>
    <row r="601" spans="3:12" ht="15.75" customHeight="1">
      <c r="C601" s="13"/>
      <c r="K601" s="2"/>
      <c r="L601" s="2"/>
    </row>
    <row r="602" spans="3:12" ht="15.75" customHeight="1">
      <c r="C602" s="13"/>
      <c r="K602" s="2"/>
      <c r="L602" s="2"/>
    </row>
    <row r="603" spans="3:12" ht="15.75" customHeight="1">
      <c r="C603" s="13"/>
      <c r="K603" s="2"/>
      <c r="L603" s="2"/>
    </row>
    <row r="604" spans="3:12" ht="15.75" customHeight="1">
      <c r="C604" s="13"/>
      <c r="K604" s="2"/>
      <c r="L604" s="2"/>
    </row>
    <row r="605" spans="3:12" ht="15.75" customHeight="1">
      <c r="C605" s="13"/>
      <c r="K605" s="2"/>
      <c r="L605" s="2"/>
    </row>
    <row r="606" spans="3:12" ht="15.75" customHeight="1">
      <c r="C606" s="13"/>
      <c r="K606" s="2"/>
      <c r="L606" s="2"/>
    </row>
    <row r="607" spans="3:12" ht="15.75" customHeight="1">
      <c r="C607" s="13"/>
      <c r="K607" s="2"/>
      <c r="L607" s="2"/>
    </row>
    <row r="608" spans="3:12" ht="15.75" customHeight="1">
      <c r="C608" s="13"/>
      <c r="K608" s="2"/>
      <c r="L608" s="2"/>
    </row>
    <row r="609" spans="3:12" ht="15.75" customHeight="1">
      <c r="C609" s="13"/>
      <c r="K609" s="2"/>
      <c r="L609" s="2"/>
    </row>
    <row r="610" spans="3:12" ht="15.75" customHeight="1">
      <c r="C610" s="13"/>
      <c r="K610" s="2"/>
      <c r="L610" s="2"/>
    </row>
    <row r="611" spans="3:12" ht="15.75" customHeight="1">
      <c r="C611" s="13"/>
      <c r="K611" s="2"/>
      <c r="L611" s="2"/>
    </row>
    <row r="612" spans="3:12" ht="15.75" customHeight="1">
      <c r="C612" s="13"/>
      <c r="K612" s="2"/>
      <c r="L612" s="2"/>
    </row>
    <row r="613" spans="3:12" ht="15.75" customHeight="1">
      <c r="C613" s="13"/>
      <c r="K613" s="2"/>
      <c r="L613" s="2"/>
    </row>
    <row r="614" spans="3:12" ht="15.75" customHeight="1">
      <c r="C614" s="13"/>
      <c r="K614" s="2"/>
      <c r="L614" s="2"/>
    </row>
    <row r="615" spans="3:12" ht="15.75" customHeight="1">
      <c r="C615" s="13"/>
      <c r="K615" s="2"/>
      <c r="L615" s="2"/>
    </row>
    <row r="616" spans="3:12" ht="15.75" customHeight="1">
      <c r="C616" s="13"/>
      <c r="K616" s="2"/>
      <c r="L616" s="2"/>
    </row>
    <row r="617" spans="3:12" ht="15.75" customHeight="1">
      <c r="C617" s="13"/>
      <c r="K617" s="2"/>
      <c r="L617" s="2"/>
    </row>
    <row r="618" spans="3:12" ht="15.75" customHeight="1">
      <c r="C618" s="13"/>
      <c r="K618" s="2"/>
      <c r="L618" s="2"/>
    </row>
    <row r="619" spans="3:12" ht="15.75" customHeight="1">
      <c r="C619" s="13"/>
      <c r="K619" s="2"/>
      <c r="L619" s="2"/>
    </row>
    <row r="620" spans="3:12" ht="15.75" customHeight="1">
      <c r="C620" s="13"/>
      <c r="K620" s="2"/>
      <c r="L620" s="2"/>
    </row>
    <row r="621" spans="3:12" ht="15.75" customHeight="1">
      <c r="C621" s="13"/>
      <c r="K621" s="2"/>
      <c r="L621" s="2"/>
    </row>
    <row r="622" spans="3:12" ht="15.75" customHeight="1">
      <c r="C622" s="13"/>
      <c r="K622" s="2"/>
      <c r="L622" s="2"/>
    </row>
    <row r="623" spans="3:12" ht="15.75" customHeight="1">
      <c r="C623" s="13"/>
      <c r="K623" s="2"/>
      <c r="L623" s="2"/>
    </row>
    <row r="624" spans="3:12" ht="15.75" customHeight="1">
      <c r="C624" s="13"/>
      <c r="K624" s="2"/>
      <c r="L624" s="2"/>
    </row>
    <row r="625" spans="3:12" ht="15.75" customHeight="1">
      <c r="C625" s="13"/>
      <c r="K625" s="2"/>
      <c r="L625" s="2"/>
    </row>
    <row r="626" spans="3:12" ht="15.75" customHeight="1">
      <c r="C626" s="13"/>
      <c r="K626" s="2"/>
      <c r="L626" s="2"/>
    </row>
    <row r="627" spans="3:12" ht="15.75" customHeight="1">
      <c r="C627" s="13"/>
      <c r="K627" s="2"/>
      <c r="L627" s="2"/>
    </row>
    <row r="628" spans="3:12" ht="15.75" customHeight="1">
      <c r="C628" s="13"/>
      <c r="K628" s="2"/>
      <c r="L628" s="2"/>
    </row>
    <row r="629" spans="3:12" ht="15.75" customHeight="1">
      <c r="C629" s="13"/>
      <c r="K629" s="2"/>
      <c r="L629" s="2"/>
    </row>
    <row r="630" spans="3:12" ht="15.75" customHeight="1">
      <c r="C630" s="13"/>
      <c r="K630" s="2"/>
      <c r="L630" s="2"/>
    </row>
    <row r="631" spans="3:12" ht="15.75" customHeight="1">
      <c r="C631" s="13"/>
      <c r="K631" s="2"/>
      <c r="L631" s="2"/>
    </row>
    <row r="632" spans="3:12" ht="15.75" customHeight="1">
      <c r="C632" s="13"/>
      <c r="K632" s="2"/>
      <c r="L632" s="2"/>
    </row>
    <row r="633" spans="3:12" ht="15.75" customHeight="1">
      <c r="C633" s="13"/>
      <c r="K633" s="2"/>
      <c r="L633" s="2"/>
    </row>
    <row r="634" spans="3:12" ht="15.75" customHeight="1">
      <c r="C634" s="13"/>
      <c r="K634" s="2"/>
      <c r="L634" s="2"/>
    </row>
    <row r="635" spans="3:12" ht="15.75" customHeight="1">
      <c r="C635" s="13"/>
      <c r="K635" s="2"/>
      <c r="L635" s="2"/>
    </row>
    <row r="636" spans="3:12" ht="15.75" customHeight="1">
      <c r="C636" s="13"/>
      <c r="K636" s="2"/>
      <c r="L636" s="2"/>
    </row>
    <row r="637" spans="3:12" ht="15.75" customHeight="1">
      <c r="C637" s="13"/>
      <c r="K637" s="2"/>
      <c r="L637" s="2"/>
    </row>
    <row r="638" spans="3:12" ht="15.75" customHeight="1">
      <c r="C638" s="13"/>
      <c r="K638" s="2"/>
      <c r="L638" s="2"/>
    </row>
    <row r="639" spans="3:12" ht="15.75" customHeight="1">
      <c r="C639" s="13"/>
      <c r="K639" s="2"/>
      <c r="L639" s="2"/>
    </row>
    <row r="640" spans="3:12" ht="15.75" customHeight="1">
      <c r="C640" s="13"/>
      <c r="K640" s="2"/>
      <c r="L640" s="2"/>
    </row>
    <row r="641" spans="3:12" ht="15.75" customHeight="1">
      <c r="C641" s="13"/>
      <c r="K641" s="2"/>
      <c r="L641" s="2"/>
    </row>
    <row r="642" spans="3:12" ht="15.75" customHeight="1">
      <c r="C642" s="13"/>
      <c r="K642" s="2"/>
      <c r="L642" s="2"/>
    </row>
    <row r="643" spans="3:12" ht="15.75" customHeight="1">
      <c r="C643" s="13"/>
      <c r="K643" s="2"/>
      <c r="L643" s="2"/>
    </row>
    <row r="644" spans="3:12" ht="15.75" customHeight="1">
      <c r="C644" s="13"/>
      <c r="K644" s="2"/>
      <c r="L644" s="2"/>
    </row>
    <row r="645" spans="3:12" ht="15.75" customHeight="1">
      <c r="C645" s="13"/>
      <c r="K645" s="2"/>
      <c r="L645" s="2"/>
    </row>
    <row r="646" spans="3:12" ht="15.75" customHeight="1">
      <c r="C646" s="13"/>
      <c r="K646" s="2"/>
      <c r="L646" s="2"/>
    </row>
    <row r="647" spans="3:12" ht="15.75" customHeight="1">
      <c r="C647" s="13"/>
      <c r="K647" s="2"/>
      <c r="L647" s="2"/>
    </row>
    <row r="648" spans="3:12" ht="15.75" customHeight="1">
      <c r="C648" s="13"/>
      <c r="K648" s="2"/>
      <c r="L648" s="2"/>
    </row>
    <row r="649" spans="3:12" ht="15.75" customHeight="1">
      <c r="C649" s="13"/>
      <c r="K649" s="2"/>
      <c r="L649" s="2"/>
    </row>
    <row r="650" spans="3:12" ht="15.75" customHeight="1">
      <c r="C650" s="13"/>
      <c r="K650" s="2"/>
      <c r="L650" s="2"/>
    </row>
    <row r="651" spans="3:12" ht="15.75" customHeight="1">
      <c r="C651" s="13"/>
      <c r="K651" s="2"/>
      <c r="L651" s="2"/>
    </row>
    <row r="652" spans="3:12" ht="15.75" customHeight="1">
      <c r="C652" s="13"/>
      <c r="K652" s="2"/>
      <c r="L652" s="2"/>
    </row>
    <row r="653" spans="3:12" ht="15.75" customHeight="1">
      <c r="C653" s="13"/>
      <c r="K653" s="2"/>
      <c r="L653" s="2"/>
    </row>
    <row r="654" spans="3:12" ht="15.75" customHeight="1">
      <c r="C654" s="13"/>
      <c r="K654" s="2"/>
      <c r="L654" s="2"/>
    </row>
    <row r="655" spans="3:12" ht="15.75" customHeight="1">
      <c r="C655" s="13"/>
      <c r="K655" s="2"/>
      <c r="L655" s="2"/>
    </row>
    <row r="656" spans="3:12" ht="15.75" customHeight="1">
      <c r="C656" s="13"/>
      <c r="K656" s="2"/>
      <c r="L656" s="2"/>
    </row>
    <row r="657" spans="3:12" ht="15.75" customHeight="1">
      <c r="C657" s="13"/>
      <c r="K657" s="2"/>
      <c r="L657" s="2"/>
    </row>
    <row r="658" spans="3:12" ht="15.75" customHeight="1">
      <c r="C658" s="13"/>
      <c r="K658" s="2"/>
      <c r="L658" s="2"/>
    </row>
    <row r="659" spans="3:12" ht="15.75" customHeight="1">
      <c r="C659" s="13"/>
      <c r="K659" s="2"/>
      <c r="L659" s="2"/>
    </row>
    <row r="660" spans="3:12" ht="15.75" customHeight="1">
      <c r="C660" s="13"/>
      <c r="K660" s="2"/>
      <c r="L660" s="2"/>
    </row>
    <row r="661" spans="3:12" ht="15.75" customHeight="1">
      <c r="C661" s="13"/>
      <c r="K661" s="2"/>
      <c r="L661" s="2"/>
    </row>
    <row r="662" spans="3:12" ht="15.75" customHeight="1">
      <c r="C662" s="13"/>
      <c r="K662" s="2"/>
      <c r="L662" s="2"/>
    </row>
    <row r="663" spans="3:12" ht="15.75" customHeight="1">
      <c r="C663" s="13"/>
      <c r="K663" s="2"/>
      <c r="L663" s="2"/>
    </row>
    <row r="664" spans="3:12" ht="15.75" customHeight="1">
      <c r="C664" s="13"/>
      <c r="K664" s="2"/>
      <c r="L664" s="2"/>
    </row>
    <row r="665" spans="3:12" ht="15.75" customHeight="1">
      <c r="C665" s="13"/>
      <c r="K665" s="2"/>
      <c r="L665" s="2"/>
    </row>
    <row r="666" spans="3:12" ht="15.75" customHeight="1">
      <c r="C666" s="13"/>
      <c r="K666" s="2"/>
      <c r="L666" s="2"/>
    </row>
    <row r="667" spans="3:12" ht="15.75" customHeight="1">
      <c r="C667" s="13"/>
      <c r="K667" s="2"/>
      <c r="L667" s="2"/>
    </row>
    <row r="668" spans="3:12" ht="15.75" customHeight="1">
      <c r="C668" s="13"/>
      <c r="K668" s="2"/>
      <c r="L668" s="2"/>
    </row>
    <row r="669" spans="3:12" ht="15.75" customHeight="1">
      <c r="C669" s="13"/>
      <c r="K669" s="2"/>
      <c r="L669" s="2"/>
    </row>
    <row r="670" spans="3:12" ht="15.75" customHeight="1">
      <c r="C670" s="13"/>
      <c r="K670" s="2"/>
      <c r="L670" s="2"/>
    </row>
    <row r="671" spans="3:12" ht="15.75" customHeight="1">
      <c r="C671" s="13"/>
      <c r="K671" s="2"/>
      <c r="L671" s="2"/>
    </row>
    <row r="672" spans="3:12" ht="15.75" customHeight="1">
      <c r="C672" s="13"/>
      <c r="K672" s="2"/>
      <c r="L672" s="2"/>
    </row>
    <row r="673" spans="3:12" ht="15.75" customHeight="1">
      <c r="C673" s="13"/>
      <c r="K673" s="2"/>
      <c r="L673" s="2"/>
    </row>
    <row r="674" spans="3:12" ht="15.75" customHeight="1">
      <c r="C674" s="13"/>
      <c r="K674" s="2"/>
      <c r="L674" s="2"/>
    </row>
    <row r="675" spans="3:12" ht="15.75" customHeight="1">
      <c r="C675" s="13"/>
      <c r="K675" s="2"/>
      <c r="L675" s="2"/>
    </row>
    <row r="676" spans="3:12" ht="15.75" customHeight="1">
      <c r="C676" s="13"/>
      <c r="K676" s="2"/>
      <c r="L676" s="2"/>
    </row>
    <row r="677" spans="3:12" ht="15.75" customHeight="1">
      <c r="C677" s="13"/>
      <c r="K677" s="2"/>
      <c r="L677" s="2"/>
    </row>
    <row r="678" spans="3:12" ht="15.75" customHeight="1">
      <c r="C678" s="13"/>
      <c r="K678" s="2"/>
      <c r="L678" s="2"/>
    </row>
    <row r="679" spans="3:12" ht="15.75" customHeight="1">
      <c r="C679" s="13"/>
      <c r="K679" s="2"/>
      <c r="L679" s="2"/>
    </row>
    <row r="680" spans="3:12" ht="15.75" customHeight="1">
      <c r="C680" s="13"/>
      <c r="K680" s="2"/>
      <c r="L680" s="2"/>
    </row>
    <row r="681" spans="3:12" ht="15.75" customHeight="1">
      <c r="C681" s="13"/>
      <c r="K681" s="2"/>
      <c r="L681" s="2"/>
    </row>
    <row r="682" spans="3:12" ht="15.75" customHeight="1">
      <c r="C682" s="13"/>
      <c r="K682" s="2"/>
      <c r="L682" s="2"/>
    </row>
    <row r="683" spans="3:12" ht="15.75" customHeight="1">
      <c r="C683" s="13"/>
      <c r="K683" s="2"/>
      <c r="L683" s="2"/>
    </row>
    <row r="684" spans="3:12" ht="15.75" customHeight="1">
      <c r="C684" s="13"/>
      <c r="K684" s="2"/>
      <c r="L684" s="2"/>
    </row>
    <row r="685" spans="3:12" ht="15.75" customHeight="1">
      <c r="C685" s="13"/>
      <c r="K685" s="2"/>
      <c r="L685" s="2"/>
    </row>
    <row r="686" spans="3:12" ht="15.75" customHeight="1">
      <c r="C686" s="13"/>
      <c r="K686" s="2"/>
      <c r="L686" s="2"/>
    </row>
    <row r="687" spans="3:12" ht="15.75" customHeight="1">
      <c r="C687" s="13"/>
      <c r="K687" s="2"/>
      <c r="L687" s="2"/>
    </row>
    <row r="688" spans="3:12" ht="15.75" customHeight="1">
      <c r="C688" s="13"/>
      <c r="K688" s="2"/>
      <c r="L688" s="2"/>
    </row>
    <row r="689" spans="3:12" ht="15.75" customHeight="1">
      <c r="C689" s="13"/>
      <c r="K689" s="2"/>
      <c r="L689" s="2"/>
    </row>
    <row r="690" spans="3:12" ht="15.75" customHeight="1">
      <c r="C690" s="13"/>
      <c r="K690" s="2"/>
      <c r="L690" s="2"/>
    </row>
    <row r="691" spans="3:12" ht="15.75" customHeight="1">
      <c r="C691" s="13"/>
      <c r="K691" s="2"/>
      <c r="L691" s="2"/>
    </row>
    <row r="692" spans="3:12" ht="15.75" customHeight="1">
      <c r="C692" s="13"/>
      <c r="K692" s="2"/>
      <c r="L692" s="2"/>
    </row>
    <row r="693" spans="3:12" ht="15.75" customHeight="1">
      <c r="C693" s="13"/>
      <c r="K693" s="2"/>
      <c r="L693" s="2"/>
    </row>
    <row r="694" spans="3:12" ht="15.75" customHeight="1">
      <c r="C694" s="13"/>
      <c r="K694" s="2"/>
      <c r="L694" s="2"/>
    </row>
    <row r="695" spans="3:12" ht="15.75" customHeight="1">
      <c r="C695" s="13"/>
      <c r="K695" s="2"/>
      <c r="L695" s="2"/>
    </row>
    <row r="696" spans="3:12" ht="15.75" customHeight="1">
      <c r="C696" s="13"/>
      <c r="K696" s="2"/>
      <c r="L696" s="2"/>
    </row>
    <row r="697" spans="3:12" ht="15.75" customHeight="1">
      <c r="C697" s="13"/>
      <c r="K697" s="2"/>
      <c r="L697" s="2"/>
    </row>
    <row r="698" spans="3:12" ht="15.75" customHeight="1">
      <c r="C698" s="13"/>
      <c r="K698" s="2"/>
      <c r="L698" s="2"/>
    </row>
    <row r="699" spans="3:12" ht="15.75" customHeight="1">
      <c r="C699" s="13"/>
      <c r="K699" s="2"/>
      <c r="L699" s="2"/>
    </row>
    <row r="700" spans="3:12" ht="15.75" customHeight="1">
      <c r="C700" s="13"/>
      <c r="K700" s="2"/>
      <c r="L700" s="2"/>
    </row>
    <row r="701" spans="3:12" ht="15.75" customHeight="1">
      <c r="C701" s="13"/>
      <c r="K701" s="2"/>
      <c r="L701" s="2"/>
    </row>
    <row r="702" spans="3:12" ht="15.75" customHeight="1">
      <c r="C702" s="13"/>
      <c r="K702" s="2"/>
      <c r="L702" s="2"/>
    </row>
    <row r="703" spans="3:12" ht="15.75" customHeight="1">
      <c r="C703" s="13"/>
      <c r="K703" s="2"/>
      <c r="L703" s="2"/>
    </row>
    <row r="704" spans="3:12" ht="15.75" customHeight="1">
      <c r="C704" s="13"/>
      <c r="K704" s="2"/>
      <c r="L704" s="2"/>
    </row>
    <row r="705" spans="3:12" ht="15.75" customHeight="1">
      <c r="C705" s="13"/>
      <c r="K705" s="2"/>
      <c r="L705" s="2"/>
    </row>
    <row r="706" spans="3:12" ht="15.75" customHeight="1">
      <c r="C706" s="13"/>
      <c r="K706" s="2"/>
      <c r="L706" s="2"/>
    </row>
    <row r="707" spans="3:12" ht="15.75" customHeight="1">
      <c r="C707" s="13"/>
      <c r="K707" s="2"/>
      <c r="L707" s="2"/>
    </row>
    <row r="708" spans="3:12" ht="15.75" customHeight="1">
      <c r="C708" s="13"/>
      <c r="K708" s="2"/>
      <c r="L708" s="2"/>
    </row>
    <row r="709" spans="3:12" ht="15.75" customHeight="1">
      <c r="C709" s="13"/>
      <c r="K709" s="2"/>
      <c r="L709" s="2"/>
    </row>
    <row r="710" spans="3:12" ht="15.75" customHeight="1">
      <c r="C710" s="13"/>
      <c r="K710" s="2"/>
      <c r="L710" s="2"/>
    </row>
    <row r="711" spans="3:12" ht="15.75" customHeight="1">
      <c r="C711" s="13"/>
      <c r="K711" s="2"/>
      <c r="L711" s="2"/>
    </row>
    <row r="712" spans="3:12" ht="15.75" customHeight="1">
      <c r="C712" s="13"/>
      <c r="K712" s="2"/>
      <c r="L712" s="2"/>
    </row>
    <row r="713" spans="3:12" ht="15.75" customHeight="1">
      <c r="C713" s="13"/>
      <c r="K713" s="2"/>
      <c r="L713" s="2"/>
    </row>
    <row r="714" spans="3:12" ht="15.75" customHeight="1">
      <c r="C714" s="13"/>
      <c r="K714" s="2"/>
      <c r="L714" s="2"/>
    </row>
    <row r="715" spans="3:12" ht="15.75" customHeight="1">
      <c r="C715" s="13"/>
      <c r="K715" s="2"/>
      <c r="L715" s="2"/>
    </row>
    <row r="716" spans="3:12" ht="15.75" customHeight="1">
      <c r="C716" s="13"/>
      <c r="K716" s="2"/>
      <c r="L716" s="2"/>
    </row>
    <row r="717" spans="3:12" ht="15.75" customHeight="1">
      <c r="C717" s="13"/>
      <c r="K717" s="2"/>
      <c r="L717" s="2"/>
    </row>
    <row r="718" spans="3:12" ht="15.75" customHeight="1">
      <c r="C718" s="13"/>
      <c r="K718" s="2"/>
      <c r="L718" s="2"/>
    </row>
    <row r="719" spans="3:12" ht="15.75" customHeight="1">
      <c r="C719" s="13"/>
      <c r="K719" s="2"/>
      <c r="L719" s="2"/>
    </row>
    <row r="720" spans="3:12" ht="15.75" customHeight="1">
      <c r="C720" s="13"/>
      <c r="K720" s="2"/>
      <c r="L720" s="2"/>
    </row>
    <row r="721" spans="3:12" ht="15.75" customHeight="1">
      <c r="C721" s="13"/>
      <c r="K721" s="2"/>
      <c r="L721" s="2"/>
    </row>
    <row r="722" spans="3:12" ht="15.75" customHeight="1">
      <c r="C722" s="13"/>
      <c r="K722" s="2"/>
      <c r="L722" s="2"/>
    </row>
    <row r="723" spans="3:12" ht="15.75" customHeight="1">
      <c r="C723" s="13"/>
      <c r="K723" s="2"/>
      <c r="L723" s="2"/>
    </row>
    <row r="724" spans="3:12" ht="15.75" customHeight="1">
      <c r="C724" s="13"/>
      <c r="K724" s="2"/>
      <c r="L724" s="2"/>
    </row>
    <row r="725" spans="3:12" ht="15.75" customHeight="1">
      <c r="C725" s="13"/>
      <c r="K725" s="2"/>
      <c r="L725" s="2"/>
    </row>
    <row r="726" spans="3:12" ht="15.75" customHeight="1">
      <c r="C726" s="13"/>
      <c r="K726" s="2"/>
      <c r="L726" s="2"/>
    </row>
    <row r="727" spans="3:12" ht="15.75" customHeight="1">
      <c r="C727" s="13"/>
      <c r="K727" s="2"/>
      <c r="L727" s="2"/>
    </row>
    <row r="728" spans="3:12" ht="15.75" customHeight="1">
      <c r="C728" s="13"/>
      <c r="K728" s="2"/>
      <c r="L728" s="2"/>
    </row>
    <row r="729" spans="3:12" ht="15.75" customHeight="1">
      <c r="C729" s="13"/>
      <c r="K729" s="2"/>
      <c r="L729" s="2"/>
    </row>
    <row r="730" spans="3:12" ht="15.75" customHeight="1">
      <c r="C730" s="13"/>
      <c r="K730" s="2"/>
      <c r="L730" s="2"/>
    </row>
    <row r="731" spans="3:12" ht="15.75" customHeight="1">
      <c r="C731" s="13"/>
      <c r="K731" s="2"/>
      <c r="L731" s="2"/>
    </row>
    <row r="732" spans="3:12" ht="15.75" customHeight="1">
      <c r="C732" s="13"/>
      <c r="K732" s="2"/>
      <c r="L732" s="2"/>
    </row>
    <row r="733" spans="3:12" ht="15.75" customHeight="1">
      <c r="C733" s="13"/>
      <c r="K733" s="2"/>
      <c r="L733" s="2"/>
    </row>
    <row r="734" spans="3:12" ht="15.75" customHeight="1">
      <c r="C734" s="13"/>
      <c r="K734" s="2"/>
      <c r="L734" s="2"/>
    </row>
    <row r="735" spans="3:12" ht="15.75" customHeight="1">
      <c r="C735" s="13"/>
      <c r="K735" s="2"/>
      <c r="L735" s="2"/>
    </row>
    <row r="736" spans="3:12" ht="15.75" customHeight="1">
      <c r="C736" s="13"/>
      <c r="K736" s="2"/>
      <c r="L736" s="2"/>
    </row>
    <row r="737" spans="3:12" ht="15.75" customHeight="1">
      <c r="C737" s="13"/>
      <c r="K737" s="2"/>
      <c r="L737" s="2"/>
    </row>
    <row r="738" spans="3:12" ht="15.75" customHeight="1">
      <c r="C738" s="13"/>
      <c r="K738" s="2"/>
      <c r="L738" s="2"/>
    </row>
    <row r="739" spans="3:12" ht="15.75" customHeight="1">
      <c r="C739" s="13"/>
      <c r="K739" s="2"/>
      <c r="L739" s="2"/>
    </row>
    <row r="740" spans="3:12" ht="15.75" customHeight="1">
      <c r="C740" s="13"/>
      <c r="K740" s="2"/>
      <c r="L740" s="2"/>
    </row>
    <row r="741" spans="3:12" ht="15.75" customHeight="1">
      <c r="C741" s="13"/>
      <c r="K741" s="2"/>
      <c r="L741" s="2"/>
    </row>
    <row r="742" spans="3:12" ht="15.75" customHeight="1">
      <c r="C742" s="13"/>
      <c r="K742" s="2"/>
      <c r="L742" s="2"/>
    </row>
    <row r="743" spans="3:12" ht="15.75" customHeight="1">
      <c r="C743" s="13"/>
      <c r="K743" s="2"/>
      <c r="L743" s="2"/>
    </row>
    <row r="744" spans="3:12" ht="15.75" customHeight="1">
      <c r="C744" s="13"/>
      <c r="K744" s="2"/>
      <c r="L744" s="2"/>
    </row>
    <row r="745" spans="3:12" ht="15.75" customHeight="1">
      <c r="C745" s="13"/>
      <c r="K745" s="2"/>
      <c r="L745" s="2"/>
    </row>
    <row r="746" spans="3:12" ht="15.75" customHeight="1">
      <c r="C746" s="13"/>
      <c r="K746" s="2"/>
      <c r="L746" s="2"/>
    </row>
    <row r="747" spans="3:12" ht="15.75" customHeight="1">
      <c r="C747" s="13"/>
      <c r="K747" s="2"/>
      <c r="L747" s="2"/>
    </row>
    <row r="748" spans="3:12" ht="15.75" customHeight="1">
      <c r="C748" s="13"/>
      <c r="K748" s="2"/>
      <c r="L748" s="2"/>
    </row>
    <row r="749" spans="3:12" ht="15.75" customHeight="1">
      <c r="C749" s="13"/>
      <c r="K749" s="2"/>
      <c r="L749" s="2"/>
    </row>
    <row r="750" spans="3:12" ht="15.75" customHeight="1">
      <c r="C750" s="13"/>
      <c r="K750" s="2"/>
      <c r="L750" s="2"/>
    </row>
    <row r="751" spans="3:12" ht="15.75" customHeight="1">
      <c r="C751" s="13"/>
      <c r="K751" s="2"/>
      <c r="L751" s="2"/>
    </row>
    <row r="752" spans="3:12" ht="15.75" customHeight="1">
      <c r="C752" s="13"/>
      <c r="K752" s="2"/>
      <c r="L752" s="2"/>
    </row>
    <row r="753" spans="3:12" ht="15.75" customHeight="1">
      <c r="C753" s="13"/>
      <c r="K753" s="2"/>
      <c r="L753" s="2"/>
    </row>
    <row r="754" spans="3:12" ht="15.75" customHeight="1">
      <c r="C754" s="13"/>
      <c r="K754" s="2"/>
      <c r="L754" s="2"/>
    </row>
    <row r="755" spans="3:12" ht="15.75" customHeight="1">
      <c r="C755" s="13"/>
      <c r="K755" s="2"/>
      <c r="L755" s="2"/>
    </row>
    <row r="756" spans="3:12" ht="15.75" customHeight="1">
      <c r="C756" s="13"/>
      <c r="K756" s="2"/>
      <c r="L756" s="2"/>
    </row>
    <row r="757" spans="3:12" ht="15.75" customHeight="1">
      <c r="C757" s="13"/>
      <c r="K757" s="2"/>
      <c r="L757" s="2"/>
    </row>
    <row r="758" spans="3:12" ht="15.75" customHeight="1">
      <c r="C758" s="13"/>
      <c r="K758" s="2"/>
      <c r="L758" s="2"/>
    </row>
    <row r="759" spans="3:12" ht="15.75" customHeight="1">
      <c r="C759" s="13"/>
      <c r="K759" s="2"/>
      <c r="L759" s="2"/>
    </row>
    <row r="760" spans="3:12" ht="15.75" customHeight="1">
      <c r="C760" s="13"/>
      <c r="K760" s="2"/>
      <c r="L760" s="2"/>
    </row>
    <row r="761" spans="3:12" ht="15.75" customHeight="1">
      <c r="C761" s="13"/>
      <c r="K761" s="2"/>
      <c r="L761" s="2"/>
    </row>
    <row r="762" spans="3:12" ht="15.75" customHeight="1">
      <c r="C762" s="13"/>
      <c r="K762" s="2"/>
      <c r="L762" s="2"/>
    </row>
    <row r="763" spans="3:12" ht="15.75" customHeight="1">
      <c r="C763" s="13"/>
      <c r="K763" s="2"/>
      <c r="L763" s="2"/>
    </row>
    <row r="764" spans="3:12" ht="15.75" customHeight="1">
      <c r="C764" s="13"/>
      <c r="K764" s="2"/>
      <c r="L764" s="2"/>
    </row>
    <row r="765" spans="3:12" ht="15.75" customHeight="1">
      <c r="C765" s="13"/>
      <c r="K765" s="2"/>
      <c r="L765" s="2"/>
    </row>
    <row r="766" spans="3:12" ht="15.75" customHeight="1">
      <c r="C766" s="13"/>
      <c r="K766" s="2"/>
      <c r="L766" s="2"/>
    </row>
    <row r="767" spans="3:12" ht="14.4">
      <c r="C767" s="13"/>
    </row>
    <row r="768" spans="3:12" ht="14.4">
      <c r="C768" s="13"/>
    </row>
  </sheetData>
  <mergeCells count="6">
    <mergeCell ref="C73:N73"/>
    <mergeCell ref="F2:G5"/>
    <mergeCell ref="P4:R4"/>
    <mergeCell ref="P6:R6"/>
    <mergeCell ref="C7:N7"/>
    <mergeCell ref="C41:N41"/>
  </mergeCells>
  <phoneticPr fontId="18" type="noConversion"/>
  <hyperlinks>
    <hyperlink ref="N9" r:id="rId1"/>
    <hyperlink ref="N11" r:id="rId2"/>
    <hyperlink ref="N13" r:id="rId3"/>
    <hyperlink ref="N15" r:id="rId4"/>
    <hyperlink ref="N17" r:id="rId5"/>
    <hyperlink ref="N19" r:id="rId6"/>
    <hyperlink ref="N21" r:id="rId7"/>
    <hyperlink ref="N23" r:id="rId8"/>
    <hyperlink ref="N25" r:id="rId9"/>
    <hyperlink ref="N27" r:id="rId10"/>
    <hyperlink ref="N29" r:id="rId11"/>
    <hyperlink ref="N10" r:id="rId12"/>
    <hyperlink ref="N12" r:id="rId13"/>
    <hyperlink ref="N14" r:id="rId14"/>
    <hyperlink ref="N16" r:id="rId15"/>
    <hyperlink ref="N18" r:id="rId16"/>
    <hyperlink ref="N20" r:id="rId17"/>
    <hyperlink ref="N22" r:id="rId18"/>
    <hyperlink ref="N24" r:id="rId19"/>
    <hyperlink ref="N26" r:id="rId20"/>
    <hyperlink ref="N28" r:id="rId21"/>
  </hyperlinks>
  <pageMargins left="0.7" right="0.7" top="0.75" bottom="0.75" header="0" footer="0"/>
  <pageSetup orientation="landscape"/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R770"/>
  <sheetViews>
    <sheetView topLeftCell="D109" workbookViewId="0">
      <selection activeCell="D133" sqref="D133"/>
    </sheetView>
  </sheetViews>
  <sheetFormatPr baseColWidth="10" defaultColWidth="14.44140625" defaultRowHeight="15" customHeight="1"/>
  <cols>
    <col min="1" max="2" width="3.109375" customWidth="1"/>
    <col min="3" max="3" width="31.88671875" customWidth="1"/>
    <col min="4" max="5" width="4.88671875" customWidth="1"/>
    <col min="6" max="6" width="23.88671875" customWidth="1"/>
    <col min="7" max="7" width="10.6640625" customWidth="1"/>
    <col min="8" max="8" width="84.88671875" customWidth="1"/>
    <col min="9" max="9" width="15.44140625" customWidth="1"/>
    <col min="10" max="10" width="17.88671875" customWidth="1"/>
    <col min="11" max="11" width="20" customWidth="1"/>
    <col min="12" max="12" width="13.88671875" customWidth="1"/>
    <col min="13" max="13" width="18" customWidth="1"/>
    <col min="14" max="14" width="86.88671875" bestFit="1" customWidth="1"/>
    <col min="15" max="16" width="10.6640625" customWidth="1"/>
    <col min="17" max="17" width="22.44140625" customWidth="1"/>
    <col min="18" max="18" width="17.88671875" customWidth="1"/>
    <col min="19" max="26" width="10.6640625" customWidth="1"/>
  </cols>
  <sheetData>
    <row r="1" spans="3:18" ht="14.4">
      <c r="C1" s="13"/>
      <c r="G1" s="1"/>
      <c r="K1" s="2"/>
      <c r="L1" s="2"/>
    </row>
    <row r="2" spans="3:18" ht="14.4">
      <c r="C2" s="13"/>
      <c r="F2" s="167"/>
      <c r="G2" s="168"/>
      <c r="K2" s="2"/>
      <c r="L2" s="2"/>
    </row>
    <row r="3" spans="3:18" ht="14.4">
      <c r="C3" s="13"/>
      <c r="F3" s="169"/>
      <c r="G3" s="170"/>
      <c r="K3" s="2"/>
      <c r="L3" s="2"/>
    </row>
    <row r="4" spans="3:18" ht="14.4">
      <c r="C4" s="13"/>
      <c r="F4" s="169"/>
      <c r="G4" s="170"/>
      <c r="K4" s="2"/>
      <c r="L4" s="2"/>
      <c r="P4" s="173" t="s">
        <v>15</v>
      </c>
      <c r="Q4" s="165"/>
      <c r="R4" s="166"/>
    </row>
    <row r="5" spans="3:18" ht="14.4">
      <c r="C5" s="13"/>
      <c r="F5" s="171"/>
      <c r="G5" s="172"/>
      <c r="K5" s="2"/>
      <c r="L5" s="2"/>
    </row>
    <row r="6" spans="3:18" ht="15.6">
      <c r="C6" s="13"/>
      <c r="G6" s="1"/>
      <c r="K6" s="2"/>
      <c r="L6" s="2"/>
      <c r="P6" s="161" t="s">
        <v>126</v>
      </c>
      <c r="Q6" s="162"/>
      <c r="R6" s="163"/>
    </row>
    <row r="7" spans="3:18" ht="21">
      <c r="C7" s="164" t="s">
        <v>39</v>
      </c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6"/>
      <c r="P7" s="4" t="s">
        <v>1</v>
      </c>
      <c r="Q7" s="4" t="s">
        <v>2</v>
      </c>
      <c r="R7" s="4" t="s">
        <v>3</v>
      </c>
    </row>
    <row r="8" spans="3:18" ht="15.6">
      <c r="C8" s="14" t="s">
        <v>16</v>
      </c>
      <c r="D8" s="15" t="s">
        <v>17</v>
      </c>
      <c r="E8" s="16" t="s">
        <v>18</v>
      </c>
      <c r="F8" s="17" t="s">
        <v>19</v>
      </c>
      <c r="G8" s="17" t="s">
        <v>20</v>
      </c>
      <c r="H8" s="17" t="s">
        <v>21</v>
      </c>
      <c r="I8" s="17" t="s">
        <v>22</v>
      </c>
      <c r="J8" s="17" t="s">
        <v>2</v>
      </c>
      <c r="K8" s="18" t="s">
        <v>23</v>
      </c>
      <c r="L8" s="18" t="s">
        <v>24</v>
      </c>
      <c r="M8" s="17" t="s">
        <v>25</v>
      </c>
      <c r="N8" s="17" t="s">
        <v>26</v>
      </c>
      <c r="P8" s="6" t="s">
        <v>34</v>
      </c>
      <c r="Q8" s="7"/>
      <c r="R8" s="8"/>
    </row>
    <row r="9" spans="3:18" ht="14.4">
      <c r="C9" s="19">
        <v>46023</v>
      </c>
      <c r="D9" s="20"/>
      <c r="E9" s="16" t="s">
        <v>18</v>
      </c>
      <c r="F9" s="21"/>
      <c r="G9" s="21"/>
      <c r="H9" s="22" t="s">
        <v>47</v>
      </c>
      <c r="I9" s="23">
        <v>0</v>
      </c>
      <c r="J9" s="23"/>
      <c r="K9" s="23">
        <v>0</v>
      </c>
      <c r="L9" s="8"/>
      <c r="M9" s="21"/>
      <c r="N9" s="82" t="s">
        <v>115</v>
      </c>
      <c r="P9" s="6" t="s">
        <v>114</v>
      </c>
      <c r="Q9" s="7"/>
      <c r="R9" s="10"/>
    </row>
    <row r="10" spans="3:18" ht="14.4">
      <c r="C10" s="24">
        <v>46024</v>
      </c>
      <c r="D10" s="25"/>
      <c r="E10" s="16" t="s">
        <v>18</v>
      </c>
      <c r="F10" s="21"/>
      <c r="G10" s="26"/>
      <c r="H10" s="22" t="s">
        <v>46</v>
      </c>
      <c r="I10" s="21"/>
      <c r="J10" s="27"/>
      <c r="K10" s="7"/>
      <c r="L10" s="8"/>
      <c r="M10" s="21"/>
      <c r="N10" s="82" t="s">
        <v>115</v>
      </c>
      <c r="P10" s="6" t="s">
        <v>36</v>
      </c>
      <c r="Q10" s="7"/>
      <c r="R10" s="10"/>
    </row>
    <row r="11" spans="3:18" ht="14.4">
      <c r="C11" s="19">
        <v>46025</v>
      </c>
      <c r="D11" s="20"/>
      <c r="E11" s="16" t="s">
        <v>18</v>
      </c>
      <c r="F11" s="21"/>
      <c r="G11" s="21"/>
      <c r="H11" s="22" t="s">
        <v>51</v>
      </c>
      <c r="I11" s="21"/>
      <c r="J11" s="5"/>
      <c r="K11" s="7"/>
      <c r="L11" s="8"/>
      <c r="M11" s="21"/>
      <c r="N11" s="82" t="s">
        <v>116</v>
      </c>
      <c r="P11" s="6" t="s">
        <v>37</v>
      </c>
      <c r="Q11" s="7"/>
      <c r="R11" s="11"/>
    </row>
    <row r="12" spans="3:18" ht="14.4">
      <c r="C12" s="24">
        <v>46026</v>
      </c>
      <c r="D12" s="25"/>
      <c r="E12" s="16" t="s">
        <v>18</v>
      </c>
      <c r="F12" s="21"/>
      <c r="G12" s="21"/>
      <c r="H12" s="22" t="s">
        <v>47</v>
      </c>
      <c r="I12" s="21"/>
      <c r="J12" s="5"/>
      <c r="K12" s="7"/>
      <c r="L12" s="8"/>
      <c r="M12" s="21"/>
      <c r="N12" s="82" t="s">
        <v>116</v>
      </c>
      <c r="P12" s="6" t="s">
        <v>4</v>
      </c>
      <c r="Q12" s="7"/>
      <c r="R12" s="11"/>
    </row>
    <row r="13" spans="3:18" ht="14.4">
      <c r="C13" s="19">
        <v>46027</v>
      </c>
      <c r="D13" s="20"/>
      <c r="E13" s="16" t="s">
        <v>18</v>
      </c>
      <c r="F13" s="21"/>
      <c r="G13" s="21"/>
      <c r="H13" s="22" t="s">
        <v>47</v>
      </c>
      <c r="I13" s="21"/>
      <c r="J13" s="5"/>
      <c r="K13" s="7"/>
      <c r="L13" s="8"/>
      <c r="M13" s="21"/>
      <c r="N13" s="82" t="s">
        <v>117</v>
      </c>
      <c r="P13" s="6" t="s">
        <v>5</v>
      </c>
      <c r="Q13" s="7"/>
      <c r="R13" s="12"/>
    </row>
    <row r="14" spans="3:18" ht="14.4">
      <c r="C14" s="24">
        <v>46028</v>
      </c>
      <c r="D14" s="25"/>
      <c r="E14" s="15" t="s">
        <v>17</v>
      </c>
      <c r="F14" s="21"/>
      <c r="G14" s="21"/>
      <c r="H14" s="72" t="s">
        <v>234</v>
      </c>
      <c r="I14" s="21"/>
      <c r="J14" s="28"/>
      <c r="K14" s="7"/>
      <c r="L14" s="8"/>
      <c r="M14" s="21"/>
      <c r="N14" s="82" t="s">
        <v>117</v>
      </c>
      <c r="P14" s="6" t="s">
        <v>6</v>
      </c>
      <c r="Q14" s="7"/>
      <c r="R14" s="12"/>
    </row>
    <row r="15" spans="3:18" ht="14.4">
      <c r="C15" s="19">
        <v>46029</v>
      </c>
      <c r="D15" s="20"/>
      <c r="E15" s="15" t="s">
        <v>17</v>
      </c>
      <c r="F15" s="21"/>
      <c r="G15" s="21"/>
      <c r="H15" s="72" t="s">
        <v>235</v>
      </c>
      <c r="I15" s="21"/>
      <c r="J15" s="28"/>
      <c r="K15" s="7"/>
      <c r="L15" s="8"/>
      <c r="M15" s="21"/>
      <c r="N15" s="82" t="s">
        <v>118</v>
      </c>
      <c r="P15" s="6" t="s">
        <v>7</v>
      </c>
      <c r="Q15" s="7"/>
      <c r="R15" s="12"/>
    </row>
    <row r="16" spans="3:18" ht="14.4">
      <c r="C16" s="24">
        <v>46030</v>
      </c>
      <c r="D16" s="25"/>
      <c r="E16" s="16" t="s">
        <v>18</v>
      </c>
      <c r="F16" s="21"/>
      <c r="G16" s="21"/>
      <c r="H16" s="72" t="s">
        <v>64</v>
      </c>
      <c r="I16" s="21"/>
      <c r="J16" s="27"/>
      <c r="K16" s="7"/>
      <c r="L16" s="8"/>
      <c r="M16" s="23"/>
      <c r="N16" s="82" t="s">
        <v>118</v>
      </c>
      <c r="P16" s="6" t="s">
        <v>8</v>
      </c>
      <c r="Q16" s="7"/>
      <c r="R16" s="12"/>
    </row>
    <row r="17" spans="3:18" ht="14.4">
      <c r="C17" s="19">
        <v>46031</v>
      </c>
      <c r="D17" s="20"/>
      <c r="E17" s="16" t="s">
        <v>18</v>
      </c>
      <c r="F17" s="21"/>
      <c r="G17" s="21"/>
      <c r="H17" s="72" t="s">
        <v>68</v>
      </c>
      <c r="I17" s="21"/>
      <c r="J17" s="28"/>
      <c r="K17" s="7"/>
      <c r="L17" s="8"/>
      <c r="M17" s="21"/>
      <c r="N17" s="82" t="s">
        <v>119</v>
      </c>
      <c r="P17" s="6" t="s">
        <v>9</v>
      </c>
      <c r="Q17" s="7"/>
      <c r="R17" s="12"/>
    </row>
    <row r="18" spans="3:18" ht="14.4">
      <c r="C18" s="24">
        <v>46032</v>
      </c>
      <c r="D18" s="25"/>
      <c r="E18" s="15" t="s">
        <v>17</v>
      </c>
      <c r="F18" s="21"/>
      <c r="G18" s="21"/>
      <c r="H18" s="72" t="s">
        <v>236</v>
      </c>
      <c r="I18" s="21"/>
      <c r="J18" s="27"/>
      <c r="K18" s="7"/>
      <c r="L18" s="8"/>
      <c r="M18" s="21"/>
      <c r="N18" s="82" t="s">
        <v>119</v>
      </c>
      <c r="P18" s="6" t="s">
        <v>10</v>
      </c>
      <c r="Q18" s="7"/>
      <c r="R18" s="12"/>
    </row>
    <row r="19" spans="3:18" ht="14.4">
      <c r="C19" s="19">
        <v>46033</v>
      </c>
      <c r="E19" s="15" t="s">
        <v>17</v>
      </c>
      <c r="F19" s="21"/>
      <c r="G19" s="21"/>
      <c r="H19" s="72" t="s">
        <v>237</v>
      </c>
      <c r="I19" s="21"/>
      <c r="J19" s="28"/>
      <c r="K19" s="7"/>
      <c r="L19" s="8"/>
      <c r="M19" s="21"/>
      <c r="N19" s="82" t="s">
        <v>120</v>
      </c>
      <c r="P19" s="6" t="s">
        <v>11</v>
      </c>
      <c r="Q19" s="7"/>
      <c r="R19" s="12"/>
    </row>
    <row r="20" spans="3:18" ht="14.4">
      <c r="C20" s="24">
        <v>46034</v>
      </c>
      <c r="D20" s="25"/>
      <c r="E20" s="15" t="s">
        <v>17</v>
      </c>
      <c r="F20" s="21"/>
      <c r="G20" s="21"/>
      <c r="H20" s="72" t="s">
        <v>241</v>
      </c>
      <c r="I20" s="21"/>
      <c r="J20" s="28"/>
      <c r="K20" s="7"/>
      <c r="L20" s="8"/>
      <c r="M20" s="21"/>
      <c r="N20" s="82" t="s">
        <v>120</v>
      </c>
    </row>
    <row r="21" spans="3:18" ht="15.75" customHeight="1">
      <c r="C21" s="19">
        <v>46035</v>
      </c>
      <c r="D21" s="20"/>
      <c r="E21" s="15" t="s">
        <v>17</v>
      </c>
      <c r="F21" s="21"/>
      <c r="G21" s="21"/>
      <c r="H21" s="72" t="s">
        <v>242</v>
      </c>
      <c r="I21" s="21"/>
      <c r="J21" s="28"/>
      <c r="K21" s="7"/>
      <c r="L21" s="8"/>
      <c r="M21" s="21"/>
      <c r="N21" s="82" t="s">
        <v>121</v>
      </c>
    </row>
    <row r="22" spans="3:18" ht="15.75" customHeight="1">
      <c r="C22" s="24">
        <v>46036</v>
      </c>
      <c r="D22" s="25"/>
      <c r="E22" s="15" t="s">
        <v>17</v>
      </c>
      <c r="F22" s="21"/>
      <c r="G22" s="21"/>
      <c r="H22" s="72" t="s">
        <v>243</v>
      </c>
      <c r="I22" s="21"/>
      <c r="J22" s="28"/>
      <c r="K22" s="7"/>
      <c r="L22" s="8"/>
      <c r="M22" s="21"/>
      <c r="N22" s="82" t="s">
        <v>121</v>
      </c>
    </row>
    <row r="23" spans="3:18" ht="15.75" customHeight="1">
      <c r="C23" s="19">
        <v>46037</v>
      </c>
      <c r="D23" s="20"/>
      <c r="E23" s="15" t="s">
        <v>17</v>
      </c>
      <c r="F23" s="21"/>
      <c r="G23" s="21"/>
      <c r="H23" s="72" t="s">
        <v>244</v>
      </c>
      <c r="I23" s="21"/>
      <c r="J23" s="28"/>
      <c r="K23" s="7"/>
      <c r="L23" s="8"/>
      <c r="M23" s="21"/>
      <c r="N23" s="82" t="s">
        <v>122</v>
      </c>
    </row>
    <row r="24" spans="3:18" ht="15.75" customHeight="1">
      <c r="C24" s="24">
        <v>46038</v>
      </c>
      <c r="D24" s="25"/>
      <c r="E24" s="15" t="s">
        <v>17</v>
      </c>
      <c r="F24" s="21"/>
      <c r="G24" s="21"/>
      <c r="H24" s="72" t="s">
        <v>245</v>
      </c>
      <c r="I24" s="21"/>
      <c r="J24" s="28"/>
      <c r="K24" s="7"/>
      <c r="L24" s="8"/>
      <c r="M24" s="21"/>
      <c r="N24" s="82" t="s">
        <v>122</v>
      </c>
    </row>
    <row r="25" spans="3:18" ht="15.75" customHeight="1">
      <c r="C25" s="19">
        <v>46039</v>
      </c>
      <c r="D25" s="20"/>
      <c r="E25" s="15" t="s">
        <v>17</v>
      </c>
      <c r="F25" s="21"/>
      <c r="G25" s="21"/>
      <c r="H25" s="72" t="s">
        <v>246</v>
      </c>
      <c r="I25" s="21"/>
      <c r="J25" s="28"/>
      <c r="K25" s="7"/>
      <c r="L25" s="8"/>
      <c r="M25" s="21"/>
      <c r="N25" s="82" t="s">
        <v>123</v>
      </c>
    </row>
    <row r="26" spans="3:18" ht="15.75" customHeight="1">
      <c r="C26" s="24">
        <v>46040</v>
      </c>
      <c r="D26" s="25"/>
      <c r="E26" s="15" t="s">
        <v>17</v>
      </c>
      <c r="F26" s="21"/>
      <c r="G26" s="21"/>
      <c r="H26" s="72" t="s">
        <v>247</v>
      </c>
      <c r="I26" s="21"/>
      <c r="J26" s="27"/>
      <c r="K26" s="7"/>
      <c r="L26" s="8"/>
      <c r="M26" s="21"/>
      <c r="N26" s="82" t="s">
        <v>123</v>
      </c>
    </row>
    <row r="27" spans="3:18" ht="15.75" customHeight="1">
      <c r="C27" s="19">
        <v>46041</v>
      </c>
      <c r="D27" s="20"/>
      <c r="E27" s="15" t="s">
        <v>17</v>
      </c>
      <c r="F27" s="21"/>
      <c r="G27" s="21"/>
      <c r="H27" s="72" t="s">
        <v>248</v>
      </c>
      <c r="I27" s="21"/>
      <c r="J27" s="28"/>
      <c r="K27" s="7"/>
      <c r="L27" s="8"/>
      <c r="M27" s="21"/>
      <c r="N27" s="82" t="s">
        <v>124</v>
      </c>
    </row>
    <row r="28" spans="3:18" ht="15.75" customHeight="1">
      <c r="C28" s="24">
        <v>46042</v>
      </c>
      <c r="E28" s="15" t="s">
        <v>17</v>
      </c>
      <c r="F28" s="21"/>
      <c r="G28" s="21"/>
      <c r="H28" s="72" t="s">
        <v>249</v>
      </c>
      <c r="I28" s="21"/>
      <c r="J28" s="28"/>
      <c r="K28" s="7"/>
      <c r="L28" s="8"/>
      <c r="M28" s="21"/>
      <c r="N28" s="82" t="s">
        <v>124</v>
      </c>
    </row>
    <row r="29" spans="3:18" ht="15.75" customHeight="1">
      <c r="C29" s="19">
        <v>46043</v>
      </c>
      <c r="D29" s="25"/>
      <c r="E29" s="15" t="s">
        <v>17</v>
      </c>
      <c r="F29" s="21"/>
      <c r="G29" s="21"/>
      <c r="H29" s="72" t="s">
        <v>250</v>
      </c>
      <c r="I29" s="21"/>
      <c r="J29" s="28"/>
      <c r="K29" s="7"/>
      <c r="L29" s="8"/>
      <c r="M29" s="21"/>
      <c r="N29" s="82" t="s">
        <v>125</v>
      </c>
    </row>
    <row r="30" spans="3:18" ht="15.75" customHeight="1">
      <c r="C30" s="24">
        <v>46044</v>
      </c>
      <c r="D30" s="25"/>
      <c r="E30" s="15" t="s">
        <v>17</v>
      </c>
      <c r="F30" s="21"/>
      <c r="G30" s="21"/>
      <c r="H30" s="72" t="s">
        <v>238</v>
      </c>
      <c r="I30" s="21"/>
      <c r="J30" s="28"/>
      <c r="K30" s="7"/>
      <c r="L30" s="8"/>
      <c r="M30" s="21"/>
      <c r="N30" s="21"/>
    </row>
    <row r="31" spans="3:18" ht="15.75" customHeight="1">
      <c r="C31" s="19">
        <v>46045</v>
      </c>
      <c r="D31" s="25"/>
      <c r="E31" s="15" t="s">
        <v>17</v>
      </c>
      <c r="F31" s="21"/>
      <c r="G31" s="21"/>
      <c r="H31" s="98" t="s">
        <v>251</v>
      </c>
      <c r="I31" s="21"/>
      <c r="J31" s="27"/>
      <c r="K31" s="7"/>
      <c r="L31" s="8"/>
      <c r="M31" s="21"/>
      <c r="N31" s="21"/>
    </row>
    <row r="32" spans="3:18" ht="15.75" customHeight="1">
      <c r="C32" s="24">
        <v>46046</v>
      </c>
      <c r="D32" s="25"/>
      <c r="E32" s="15" t="s">
        <v>17</v>
      </c>
      <c r="F32" s="21"/>
      <c r="G32" s="21"/>
      <c r="H32" s="98" t="s">
        <v>252</v>
      </c>
      <c r="I32" s="21"/>
      <c r="J32" s="28"/>
      <c r="K32" s="7"/>
      <c r="L32" s="8"/>
      <c r="M32" s="21"/>
      <c r="N32" s="21"/>
    </row>
    <row r="33" spans="3:18" ht="15.75" customHeight="1">
      <c r="C33" s="19">
        <v>46047</v>
      </c>
      <c r="D33" s="20"/>
      <c r="E33" s="15" t="s">
        <v>17</v>
      </c>
      <c r="F33" s="21"/>
      <c r="G33" s="21"/>
      <c r="H33" s="98" t="s">
        <v>239</v>
      </c>
      <c r="I33" s="21"/>
      <c r="J33" s="28"/>
      <c r="K33" s="7"/>
      <c r="L33" s="8"/>
      <c r="M33" s="21"/>
      <c r="N33" s="21"/>
    </row>
    <row r="34" spans="3:18" ht="15.75" customHeight="1">
      <c r="C34" s="24">
        <v>46048</v>
      </c>
      <c r="D34" s="25"/>
      <c r="E34" s="15" t="s">
        <v>17</v>
      </c>
      <c r="F34" s="21"/>
      <c r="G34" s="21"/>
      <c r="H34" s="98" t="s">
        <v>240</v>
      </c>
      <c r="I34" s="21"/>
      <c r="J34" s="28"/>
      <c r="K34" s="7"/>
      <c r="L34" s="8"/>
      <c r="M34" s="21"/>
      <c r="N34" s="21"/>
    </row>
    <row r="35" spans="3:18" ht="15.75" customHeight="1">
      <c r="C35" s="19">
        <v>46049</v>
      </c>
      <c r="D35" s="20"/>
      <c r="E35" s="15" t="s">
        <v>17</v>
      </c>
      <c r="F35" s="21"/>
      <c r="G35" s="21"/>
      <c r="H35" s="99" t="s">
        <v>253</v>
      </c>
      <c r="I35" s="21"/>
      <c r="J35" s="28"/>
      <c r="K35" s="7"/>
      <c r="L35" s="8"/>
      <c r="M35" s="21"/>
      <c r="N35" s="21"/>
    </row>
    <row r="36" spans="3:18" ht="15.75" customHeight="1">
      <c r="C36" s="24">
        <v>46050</v>
      </c>
      <c r="D36" s="25"/>
      <c r="E36" s="15" t="s">
        <v>17</v>
      </c>
      <c r="F36" s="21"/>
      <c r="G36" s="21"/>
      <c r="H36" s="99" t="s">
        <v>254</v>
      </c>
      <c r="I36" s="21"/>
      <c r="J36" s="28"/>
      <c r="K36" s="7"/>
      <c r="L36" s="8"/>
      <c r="M36" s="21"/>
      <c r="N36" s="21"/>
    </row>
    <row r="37" spans="3:18" ht="15.75" customHeight="1">
      <c r="C37" s="19">
        <v>46051</v>
      </c>
      <c r="D37" s="20"/>
      <c r="E37" s="15" t="s">
        <v>17</v>
      </c>
      <c r="F37" s="21"/>
      <c r="G37" s="21"/>
      <c r="H37" s="99" t="s">
        <v>255</v>
      </c>
      <c r="I37" s="21"/>
      <c r="J37" s="28"/>
      <c r="K37" s="7"/>
      <c r="L37" s="8"/>
      <c r="M37" s="21"/>
      <c r="N37" s="21"/>
    </row>
    <row r="38" spans="3:18" ht="15.75" customHeight="1">
      <c r="C38" s="24">
        <v>46052</v>
      </c>
      <c r="D38" s="25"/>
      <c r="E38" s="15" t="s">
        <v>17</v>
      </c>
      <c r="F38" s="21"/>
      <c r="G38" s="21"/>
      <c r="H38" s="99" t="s">
        <v>263</v>
      </c>
      <c r="I38" s="21"/>
      <c r="J38" s="28"/>
      <c r="K38" s="7"/>
      <c r="L38" s="8"/>
      <c r="M38" s="21"/>
      <c r="N38" s="21"/>
    </row>
    <row r="39" spans="3:18" ht="15.75" customHeight="1">
      <c r="C39" s="19">
        <v>46053</v>
      </c>
      <c r="D39" s="20"/>
      <c r="E39" s="15" t="s">
        <v>17</v>
      </c>
      <c r="F39" s="21"/>
      <c r="G39" s="30"/>
      <c r="H39" s="99" t="s">
        <v>255</v>
      </c>
      <c r="I39" s="30"/>
      <c r="J39" s="31"/>
      <c r="K39" s="32"/>
      <c r="L39" s="33"/>
      <c r="M39" s="30"/>
      <c r="N39" s="30"/>
    </row>
    <row r="40" spans="3:18" ht="15.75" customHeight="1">
      <c r="C40" s="13"/>
      <c r="K40" s="2"/>
      <c r="L40" s="2"/>
    </row>
    <row r="41" spans="3:18" ht="15.75" customHeight="1">
      <c r="C41" s="13"/>
      <c r="K41" s="2"/>
      <c r="L41" s="2"/>
    </row>
    <row r="42" spans="3:18" ht="15.75" customHeight="1">
      <c r="C42" s="13"/>
      <c r="K42" s="2"/>
      <c r="L42" s="2"/>
    </row>
    <row r="43" spans="3:18" ht="21">
      <c r="C43" s="174" t="s">
        <v>289</v>
      </c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6"/>
      <c r="P43" s="4" t="s">
        <v>1</v>
      </c>
      <c r="Q43" s="4" t="s">
        <v>2</v>
      </c>
      <c r="R43" s="4" t="s">
        <v>3</v>
      </c>
    </row>
    <row r="44" spans="3:18" ht="15.6">
      <c r="C44" s="14" t="s">
        <v>16</v>
      </c>
      <c r="D44" s="15" t="s">
        <v>17</v>
      </c>
      <c r="E44" s="16" t="s">
        <v>18</v>
      </c>
      <c r="F44" s="17" t="s">
        <v>19</v>
      </c>
      <c r="G44" s="17" t="s">
        <v>20</v>
      </c>
      <c r="H44" s="17" t="s">
        <v>21</v>
      </c>
      <c r="I44" s="17" t="s">
        <v>22</v>
      </c>
      <c r="J44" s="17" t="s">
        <v>2</v>
      </c>
      <c r="K44" s="18" t="s">
        <v>23</v>
      </c>
      <c r="L44" s="18" t="s">
        <v>24</v>
      </c>
      <c r="M44" s="17" t="s">
        <v>25</v>
      </c>
      <c r="N44" s="17" t="s">
        <v>26</v>
      </c>
      <c r="P44" s="6" t="s">
        <v>34</v>
      </c>
      <c r="Q44" s="7"/>
      <c r="R44" s="8"/>
    </row>
    <row r="45" spans="3:18" ht="14.4">
      <c r="C45" s="105">
        <v>46054</v>
      </c>
      <c r="D45" s="20"/>
      <c r="E45" s="16" t="s">
        <v>18</v>
      </c>
      <c r="F45" s="21"/>
      <c r="G45" s="21"/>
      <c r="H45" s="72" t="s">
        <v>290</v>
      </c>
      <c r="I45" s="23"/>
      <c r="J45" s="23"/>
      <c r="K45" s="23"/>
      <c r="L45" s="8"/>
      <c r="M45" s="21"/>
      <c r="N45" s="82"/>
      <c r="P45" s="6"/>
      <c r="Q45" s="7"/>
      <c r="R45" s="10"/>
    </row>
    <row r="46" spans="3:18" ht="14.4">
      <c r="C46" s="105">
        <v>46055</v>
      </c>
      <c r="D46" s="25"/>
      <c r="E46" s="16" t="s">
        <v>18</v>
      </c>
      <c r="F46" s="21"/>
      <c r="G46" s="26"/>
      <c r="H46" s="72" t="s">
        <v>291</v>
      </c>
      <c r="I46" s="21"/>
      <c r="J46" s="27"/>
      <c r="K46" s="7"/>
      <c r="L46" s="8"/>
      <c r="M46" s="21"/>
      <c r="N46" s="82"/>
      <c r="P46" s="6"/>
      <c r="Q46" s="7"/>
      <c r="R46" s="10"/>
    </row>
    <row r="47" spans="3:18" ht="14.4">
      <c r="C47" s="105">
        <v>46056</v>
      </c>
      <c r="D47" s="20"/>
      <c r="E47" s="16" t="s">
        <v>18</v>
      </c>
      <c r="F47" s="21"/>
      <c r="G47" s="21"/>
      <c r="H47" s="72" t="s">
        <v>292</v>
      </c>
      <c r="I47" s="21"/>
      <c r="J47" s="5"/>
      <c r="K47" s="7"/>
      <c r="L47" s="8"/>
      <c r="M47" s="21"/>
      <c r="N47" s="82"/>
      <c r="P47" s="6"/>
      <c r="Q47" s="7"/>
      <c r="R47" s="11"/>
    </row>
    <row r="48" spans="3:18" ht="14.4">
      <c r="C48" s="105">
        <v>46057</v>
      </c>
      <c r="D48" s="25"/>
      <c r="E48" s="16" t="s">
        <v>18</v>
      </c>
      <c r="F48" s="21"/>
      <c r="G48" s="21"/>
      <c r="H48" s="72" t="s">
        <v>293</v>
      </c>
      <c r="I48" s="21"/>
      <c r="J48" s="5"/>
      <c r="K48" s="7"/>
      <c r="L48" s="8"/>
      <c r="M48" s="21"/>
      <c r="N48" s="82"/>
      <c r="P48" s="6"/>
      <c r="Q48" s="7"/>
      <c r="R48" s="11"/>
    </row>
    <row r="49" spans="3:18" ht="14.4">
      <c r="C49" s="105">
        <v>46058</v>
      </c>
      <c r="D49" s="15" t="s">
        <v>17</v>
      </c>
      <c r="E49" s="16"/>
      <c r="F49" s="21"/>
      <c r="G49" s="21"/>
      <c r="H49" s="72" t="s">
        <v>294</v>
      </c>
      <c r="I49" s="21"/>
      <c r="J49" s="5"/>
      <c r="K49" s="7"/>
      <c r="L49" s="8"/>
      <c r="M49" s="21"/>
      <c r="N49" s="82"/>
      <c r="P49" s="6"/>
      <c r="Q49" s="7"/>
      <c r="R49" s="12"/>
    </row>
    <row r="50" spans="3:18" ht="14.4">
      <c r="C50" s="105">
        <v>46059</v>
      </c>
      <c r="D50" s="25"/>
      <c r="E50" s="16" t="s">
        <v>18</v>
      </c>
      <c r="F50" s="21"/>
      <c r="G50" s="21"/>
      <c r="H50" s="72" t="s">
        <v>295</v>
      </c>
      <c r="I50" s="21"/>
      <c r="J50" s="28"/>
      <c r="K50" s="7"/>
      <c r="L50" s="8"/>
      <c r="M50" s="21"/>
      <c r="N50" s="82"/>
      <c r="P50" s="6"/>
      <c r="Q50" s="7"/>
      <c r="R50" s="12"/>
    </row>
    <row r="51" spans="3:18" ht="14.4">
      <c r="C51" s="105">
        <v>46060</v>
      </c>
      <c r="D51" s="20"/>
      <c r="E51" s="16" t="s">
        <v>18</v>
      </c>
      <c r="F51" s="21"/>
      <c r="G51" s="21"/>
      <c r="H51" s="72" t="s">
        <v>295</v>
      </c>
      <c r="I51" s="21"/>
      <c r="J51" s="28"/>
      <c r="K51" s="7"/>
      <c r="L51" s="8"/>
      <c r="M51" s="21"/>
      <c r="N51" s="82"/>
      <c r="P51" s="6"/>
      <c r="Q51" s="7"/>
      <c r="R51" s="12"/>
    </row>
    <row r="52" spans="3:18" ht="14.4">
      <c r="C52" s="105">
        <v>46061</v>
      </c>
      <c r="D52" s="25"/>
      <c r="E52" s="16" t="s">
        <v>18</v>
      </c>
      <c r="F52" s="21"/>
      <c r="G52" s="21"/>
      <c r="H52" s="72" t="s">
        <v>295</v>
      </c>
      <c r="I52" s="21"/>
      <c r="J52" s="27"/>
      <c r="K52" s="7"/>
      <c r="L52" s="8"/>
      <c r="M52" s="23"/>
      <c r="N52" s="82"/>
      <c r="P52" s="6"/>
      <c r="Q52" s="7"/>
      <c r="R52" s="12"/>
    </row>
    <row r="53" spans="3:18" ht="14.4">
      <c r="C53" s="105">
        <v>46062</v>
      </c>
      <c r="D53" s="20"/>
      <c r="E53" s="16" t="s">
        <v>18</v>
      </c>
      <c r="F53" s="21"/>
      <c r="G53" s="21"/>
      <c r="H53" s="72" t="s">
        <v>296</v>
      </c>
      <c r="I53" s="21"/>
      <c r="J53" s="28"/>
      <c r="K53" s="7"/>
      <c r="L53" s="8"/>
      <c r="M53" s="21"/>
      <c r="N53" s="82"/>
      <c r="P53" s="6"/>
      <c r="Q53" s="7"/>
      <c r="R53" s="12"/>
    </row>
    <row r="54" spans="3:18" ht="14.4">
      <c r="C54" s="105">
        <v>46063</v>
      </c>
      <c r="D54" s="15" t="s">
        <v>17</v>
      </c>
      <c r="E54" s="15"/>
      <c r="F54" s="21"/>
      <c r="G54" s="21"/>
      <c r="H54" s="72" t="s">
        <v>297</v>
      </c>
      <c r="I54" s="21"/>
      <c r="J54" s="27"/>
      <c r="K54" s="7"/>
      <c r="L54" s="8"/>
      <c r="M54" s="21"/>
      <c r="N54" s="82"/>
      <c r="P54" s="6"/>
      <c r="Q54" s="7"/>
      <c r="R54" s="12"/>
    </row>
    <row r="55" spans="3:18" ht="14.4">
      <c r="C55" s="105">
        <v>46064</v>
      </c>
      <c r="E55" s="15" t="s">
        <v>17</v>
      </c>
      <c r="F55" s="21"/>
      <c r="G55" s="21"/>
      <c r="H55" s="72" t="s">
        <v>321</v>
      </c>
      <c r="I55" s="21"/>
      <c r="J55" s="28"/>
      <c r="K55" s="7"/>
      <c r="L55" s="8"/>
      <c r="M55" s="21"/>
      <c r="N55" s="82"/>
      <c r="P55" s="6"/>
      <c r="Q55" s="7"/>
      <c r="R55" s="12"/>
    </row>
    <row r="56" spans="3:18" ht="14.4">
      <c r="C56" s="105">
        <v>46065</v>
      </c>
      <c r="D56" s="25"/>
      <c r="E56" s="112" t="s">
        <v>18</v>
      </c>
      <c r="F56" s="73"/>
      <c r="G56" s="73"/>
      <c r="H56" s="72" t="s">
        <v>338</v>
      </c>
      <c r="I56" s="21"/>
      <c r="J56" s="28"/>
      <c r="K56" s="7"/>
      <c r="L56" s="8"/>
      <c r="M56" s="21"/>
      <c r="N56" s="82"/>
    </row>
    <row r="57" spans="3:18" ht="15.75" customHeight="1">
      <c r="C57" s="105">
        <v>46066</v>
      </c>
      <c r="D57" s="75"/>
      <c r="E57" s="112" t="s">
        <v>18</v>
      </c>
      <c r="F57" s="74"/>
      <c r="G57" s="74"/>
      <c r="H57" s="72" t="s">
        <v>361</v>
      </c>
      <c r="I57" s="55"/>
      <c r="J57" s="28"/>
      <c r="K57" s="7"/>
      <c r="L57" s="8"/>
      <c r="M57" s="21"/>
      <c r="N57" s="82"/>
    </row>
    <row r="58" spans="3:18" ht="15.75" customHeight="1">
      <c r="C58" s="105">
        <v>46067</v>
      </c>
      <c r="D58" s="25"/>
      <c r="E58" s="112" t="s">
        <v>18</v>
      </c>
      <c r="F58" s="30"/>
      <c r="G58" s="30"/>
      <c r="H58" s="113" t="s">
        <v>337</v>
      </c>
      <c r="I58" s="21"/>
      <c r="J58" s="28"/>
      <c r="K58" s="7"/>
      <c r="L58" s="8"/>
      <c r="M58" s="21"/>
      <c r="N58" s="82"/>
    </row>
    <row r="59" spans="3:18" ht="15.75" customHeight="1">
      <c r="C59" s="105">
        <v>46068</v>
      </c>
      <c r="D59" s="20"/>
      <c r="E59" s="16" t="s">
        <v>18</v>
      </c>
      <c r="F59" s="21"/>
      <c r="G59" s="21"/>
      <c r="H59" s="72" t="s">
        <v>342</v>
      </c>
      <c r="I59" s="21"/>
      <c r="J59" s="28"/>
      <c r="K59" s="7"/>
      <c r="L59" s="8"/>
      <c r="M59" s="21"/>
      <c r="N59" s="82"/>
    </row>
    <row r="60" spans="3:18" ht="15.75" customHeight="1">
      <c r="C60" s="105">
        <v>46069</v>
      </c>
      <c r="D60" s="25"/>
      <c r="E60" s="16" t="s">
        <v>18</v>
      </c>
      <c r="F60" s="21"/>
      <c r="G60" s="21"/>
      <c r="H60" s="72" t="s">
        <v>350</v>
      </c>
      <c r="I60" s="21"/>
      <c r="J60" s="28"/>
      <c r="K60" s="7"/>
      <c r="L60" s="8"/>
      <c r="M60" s="21"/>
      <c r="N60" s="82"/>
    </row>
    <row r="61" spans="3:18" ht="15.75" customHeight="1">
      <c r="C61" s="105">
        <v>46070</v>
      </c>
      <c r="D61" s="20"/>
      <c r="E61" s="16" t="s">
        <v>18</v>
      </c>
      <c r="F61" s="21"/>
      <c r="G61" s="21"/>
      <c r="H61" s="72" t="s">
        <v>295</v>
      </c>
      <c r="I61" s="21"/>
      <c r="J61" s="28"/>
      <c r="K61" s="7"/>
      <c r="L61" s="8"/>
      <c r="M61" s="21"/>
      <c r="N61" s="82"/>
    </row>
    <row r="62" spans="3:18" ht="15.75" customHeight="1">
      <c r="C62" s="105">
        <v>46071</v>
      </c>
      <c r="D62" s="25"/>
      <c r="E62" s="15" t="s">
        <v>17</v>
      </c>
      <c r="F62" s="21"/>
      <c r="G62" s="21"/>
      <c r="H62" s="72" t="s">
        <v>294</v>
      </c>
      <c r="I62" s="21"/>
      <c r="J62" s="27"/>
      <c r="K62" s="7"/>
      <c r="L62" s="8"/>
      <c r="M62" s="21"/>
      <c r="N62" s="82"/>
    </row>
    <row r="63" spans="3:18" ht="15.75" customHeight="1">
      <c r="C63" s="105">
        <v>46072</v>
      </c>
      <c r="D63" s="20"/>
      <c r="E63" s="15" t="s">
        <v>17</v>
      </c>
      <c r="F63" s="21"/>
      <c r="G63" s="21"/>
      <c r="H63" s="72" t="s">
        <v>360</v>
      </c>
      <c r="I63" s="21"/>
      <c r="J63" s="28"/>
      <c r="K63" s="7"/>
      <c r="L63" s="8"/>
      <c r="M63" s="21"/>
      <c r="N63" s="82"/>
    </row>
    <row r="64" spans="3:18" ht="15.75" customHeight="1">
      <c r="C64" s="105">
        <v>46073</v>
      </c>
      <c r="E64" s="16" t="s">
        <v>18</v>
      </c>
      <c r="F64" s="21"/>
      <c r="G64" s="21"/>
      <c r="H64" s="22" t="s">
        <v>369</v>
      </c>
      <c r="I64" s="21"/>
      <c r="J64" s="28"/>
      <c r="K64" s="7"/>
      <c r="L64" s="8"/>
      <c r="M64" s="21"/>
      <c r="N64" s="82"/>
    </row>
    <row r="65" spans="3:18" ht="15.75" customHeight="1">
      <c r="C65" s="105">
        <v>46074</v>
      </c>
      <c r="D65" s="25"/>
      <c r="E65" s="16" t="s">
        <v>18</v>
      </c>
      <c r="F65" s="21"/>
      <c r="G65" s="21"/>
      <c r="H65" s="72" t="s">
        <v>295</v>
      </c>
      <c r="I65" s="21"/>
      <c r="J65" s="28"/>
      <c r="K65" s="7"/>
      <c r="L65" s="8"/>
      <c r="M65" s="21"/>
      <c r="N65" s="82"/>
    </row>
    <row r="66" spans="3:18" ht="15.75" customHeight="1">
      <c r="C66" s="105">
        <v>46075</v>
      </c>
      <c r="D66" s="25"/>
      <c r="E66" s="16" t="s">
        <v>18</v>
      </c>
      <c r="F66" s="21"/>
      <c r="G66" s="21"/>
      <c r="H66" s="72" t="s">
        <v>295</v>
      </c>
      <c r="I66" s="21"/>
      <c r="J66" s="28"/>
      <c r="K66" s="7"/>
      <c r="L66" s="8"/>
      <c r="M66" s="21"/>
      <c r="N66" s="21"/>
    </row>
    <row r="67" spans="3:18" ht="15.75" customHeight="1">
      <c r="C67" s="105">
        <v>46076</v>
      </c>
      <c r="D67" s="25"/>
      <c r="E67" s="15" t="s">
        <v>17</v>
      </c>
      <c r="F67" s="21"/>
      <c r="G67" s="21"/>
      <c r="H67" s="22" t="s">
        <v>389</v>
      </c>
      <c r="I67" s="21"/>
      <c r="J67" s="27"/>
      <c r="K67" s="7"/>
      <c r="L67" s="8"/>
      <c r="M67" s="21"/>
      <c r="N67" s="21"/>
    </row>
    <row r="68" spans="3:18" ht="15.75" customHeight="1">
      <c r="C68" s="105">
        <v>46077</v>
      </c>
      <c r="D68" s="25"/>
      <c r="E68" s="15" t="s">
        <v>17</v>
      </c>
      <c r="F68" s="21"/>
      <c r="G68" s="21"/>
      <c r="H68" s="22" t="s">
        <v>382</v>
      </c>
      <c r="I68" s="21"/>
      <c r="J68" s="28"/>
      <c r="K68" s="7"/>
      <c r="L68" s="8"/>
      <c r="M68" s="21"/>
      <c r="N68" s="21"/>
    </row>
    <row r="69" spans="3:18" ht="15.75" customHeight="1">
      <c r="C69" s="105">
        <v>46078</v>
      </c>
      <c r="D69" s="20"/>
      <c r="E69" s="15" t="s">
        <v>17</v>
      </c>
      <c r="F69" s="21"/>
      <c r="G69" s="21"/>
      <c r="H69" s="22" t="s">
        <v>390</v>
      </c>
      <c r="I69" s="21"/>
      <c r="J69" s="28"/>
      <c r="K69" s="7"/>
      <c r="L69" s="8"/>
      <c r="M69" s="21"/>
      <c r="N69" s="21"/>
    </row>
    <row r="70" spans="3:18" ht="15.75" customHeight="1">
      <c r="C70" s="105">
        <v>46079</v>
      </c>
      <c r="D70" s="25"/>
      <c r="E70" s="15" t="s">
        <v>17</v>
      </c>
      <c r="F70" s="21"/>
      <c r="G70" s="21"/>
      <c r="H70" s="22" t="s">
        <v>397</v>
      </c>
      <c r="I70" s="21"/>
      <c r="J70" s="28"/>
      <c r="K70" s="7"/>
      <c r="L70" s="8"/>
      <c r="M70" s="21"/>
      <c r="N70" s="21"/>
    </row>
    <row r="71" spans="3:18" ht="15.75" customHeight="1">
      <c r="C71" s="105">
        <v>46080</v>
      </c>
      <c r="D71" s="20"/>
      <c r="E71" s="15" t="s">
        <v>17</v>
      </c>
      <c r="F71" s="21"/>
      <c r="G71" s="21"/>
      <c r="H71" s="22" t="s">
        <v>412</v>
      </c>
      <c r="I71" s="21"/>
      <c r="J71" s="28"/>
      <c r="K71" s="7"/>
      <c r="L71" s="8"/>
      <c r="M71" s="21"/>
      <c r="N71" s="21"/>
    </row>
    <row r="72" spans="3:18" ht="15.75" customHeight="1">
      <c r="C72" s="105">
        <v>46081</v>
      </c>
      <c r="D72" s="25"/>
      <c r="E72" s="15" t="s">
        <v>17</v>
      </c>
      <c r="F72" s="21"/>
      <c r="G72" s="78"/>
      <c r="H72" s="121" t="s">
        <v>411</v>
      </c>
      <c r="I72" s="55"/>
      <c r="J72" s="28"/>
      <c r="K72" s="7"/>
      <c r="L72" s="8"/>
      <c r="M72" s="21"/>
      <c r="N72" s="21"/>
    </row>
    <row r="73" spans="3:18" ht="15.75" customHeight="1">
      <c r="C73" s="13"/>
      <c r="K73" s="2"/>
      <c r="L73" s="2"/>
    </row>
    <row r="74" spans="3:18" ht="15.75" customHeight="1">
      <c r="C74" s="13"/>
      <c r="K74" s="2"/>
      <c r="L74" s="2"/>
    </row>
    <row r="75" spans="3:18" ht="21">
      <c r="C75" s="164" t="s">
        <v>409</v>
      </c>
      <c r="D75" s="165"/>
      <c r="E75" s="165"/>
      <c r="F75" s="165"/>
      <c r="G75" s="165"/>
      <c r="H75" s="165"/>
      <c r="I75" s="165"/>
      <c r="J75" s="165"/>
      <c r="K75" s="165"/>
      <c r="L75" s="165"/>
      <c r="M75" s="165"/>
      <c r="N75" s="166"/>
      <c r="P75" s="4" t="s">
        <v>1</v>
      </c>
      <c r="Q75" s="4" t="s">
        <v>2</v>
      </c>
      <c r="R75" s="4" t="s">
        <v>3</v>
      </c>
    </row>
    <row r="76" spans="3:18" ht="15.6">
      <c r="C76" s="14" t="s">
        <v>16</v>
      </c>
      <c r="D76" s="49" t="s">
        <v>17</v>
      </c>
      <c r="E76" s="112" t="s">
        <v>18</v>
      </c>
      <c r="F76" s="17" t="s">
        <v>19</v>
      </c>
      <c r="G76" s="17" t="s">
        <v>20</v>
      </c>
      <c r="H76" s="17" t="s">
        <v>21</v>
      </c>
      <c r="I76" s="17" t="s">
        <v>22</v>
      </c>
      <c r="J76" s="17" t="s">
        <v>2</v>
      </c>
      <c r="K76" s="18" t="s">
        <v>23</v>
      </c>
      <c r="L76" s="18" t="s">
        <v>24</v>
      </c>
      <c r="M76" s="17" t="s">
        <v>25</v>
      </c>
      <c r="N76" s="17" t="s">
        <v>26</v>
      </c>
      <c r="P76" s="6" t="s">
        <v>34</v>
      </c>
      <c r="Q76" s="7"/>
      <c r="R76" s="8"/>
    </row>
    <row r="77" spans="3:18" ht="14.4">
      <c r="C77" s="122">
        <v>46082</v>
      </c>
      <c r="D77" s="49" t="s">
        <v>17</v>
      </c>
      <c r="E77" s="121"/>
      <c r="F77" s="55"/>
      <c r="G77" s="21"/>
      <c r="H77" s="22" t="s">
        <v>413</v>
      </c>
      <c r="I77" s="23"/>
      <c r="J77" s="23"/>
      <c r="K77" s="23"/>
      <c r="L77" s="8"/>
      <c r="M77" s="21"/>
      <c r="N77" s="82"/>
      <c r="P77" s="6"/>
      <c r="Q77" s="7"/>
      <c r="R77" s="10"/>
    </row>
    <row r="78" spans="3:18" ht="14.4">
      <c r="C78" s="122">
        <v>46083</v>
      </c>
      <c r="D78" s="123"/>
      <c r="E78" s="112" t="s">
        <v>18</v>
      </c>
      <c r="F78" s="55"/>
      <c r="G78" s="26"/>
      <c r="H78" s="22" t="s">
        <v>414</v>
      </c>
      <c r="I78" s="21"/>
      <c r="J78" s="27"/>
      <c r="K78" s="7"/>
      <c r="L78" s="8"/>
      <c r="M78" s="21"/>
      <c r="N78" s="82"/>
      <c r="P78" s="6"/>
      <c r="Q78" s="7"/>
      <c r="R78" s="10"/>
    </row>
    <row r="79" spans="3:18" ht="14.4">
      <c r="C79" s="122">
        <v>46084</v>
      </c>
      <c r="D79" s="109"/>
      <c r="E79" s="112" t="s">
        <v>18</v>
      </c>
      <c r="F79" s="55"/>
      <c r="G79" s="21"/>
      <c r="H79" s="22" t="s">
        <v>421</v>
      </c>
      <c r="I79" s="21"/>
      <c r="J79" s="5"/>
      <c r="K79" s="7"/>
      <c r="L79" s="8"/>
      <c r="M79" s="21"/>
      <c r="N79" s="82"/>
      <c r="P79" s="6"/>
      <c r="Q79" s="7"/>
      <c r="R79" s="11"/>
    </row>
    <row r="80" spans="3:18" ht="14.4">
      <c r="C80" s="122">
        <v>46085</v>
      </c>
      <c r="D80" s="123"/>
      <c r="E80" s="49" t="s">
        <v>17</v>
      </c>
      <c r="F80" s="55"/>
      <c r="G80" s="21"/>
      <c r="H80" s="22" t="s">
        <v>427</v>
      </c>
      <c r="I80" s="21"/>
      <c r="J80" s="5"/>
      <c r="K80" s="7"/>
      <c r="L80" s="8"/>
      <c r="M80" s="21"/>
      <c r="N80" s="82"/>
      <c r="P80" s="6"/>
      <c r="Q80" s="7"/>
      <c r="R80" s="11"/>
    </row>
    <row r="81" spans="3:18" ht="14.4">
      <c r="C81" s="122">
        <v>46086</v>
      </c>
      <c r="D81" s="121"/>
      <c r="E81" s="49" t="s">
        <v>17</v>
      </c>
      <c r="F81" s="55"/>
      <c r="G81" s="21"/>
      <c r="H81" s="22" t="s">
        <v>432</v>
      </c>
      <c r="I81" s="21"/>
      <c r="J81" s="5"/>
      <c r="K81" s="7"/>
      <c r="L81" s="8"/>
      <c r="M81" s="21"/>
      <c r="N81" s="82"/>
      <c r="P81" s="6"/>
      <c r="Q81" s="7"/>
      <c r="R81" s="12"/>
    </row>
    <row r="82" spans="3:18" ht="14.4">
      <c r="C82" s="122">
        <v>46087</v>
      </c>
      <c r="D82" s="123"/>
      <c r="E82" s="112" t="s">
        <v>18</v>
      </c>
      <c r="F82" s="55"/>
      <c r="G82" s="21"/>
      <c r="H82" s="22" t="s">
        <v>439</v>
      </c>
      <c r="I82" s="21"/>
      <c r="J82" s="28"/>
      <c r="K82" s="7"/>
      <c r="L82" s="8"/>
      <c r="M82" s="21"/>
      <c r="N82" s="82"/>
      <c r="P82" s="6"/>
      <c r="Q82" s="7"/>
      <c r="R82" s="12"/>
    </row>
    <row r="83" spans="3:18" ht="14.4">
      <c r="C83" s="122">
        <v>46088</v>
      </c>
      <c r="D83" s="109"/>
      <c r="E83" s="112" t="s">
        <v>18</v>
      </c>
      <c r="F83" s="55"/>
      <c r="G83" s="21"/>
      <c r="H83" s="22" t="s">
        <v>451</v>
      </c>
      <c r="I83" s="21"/>
      <c r="J83" s="28"/>
      <c r="K83" s="7"/>
      <c r="L83" s="8"/>
      <c r="M83" s="21"/>
      <c r="N83" s="82"/>
      <c r="P83" s="6"/>
      <c r="Q83" s="7"/>
      <c r="R83" s="12"/>
    </row>
    <row r="84" spans="3:18" ht="14.4">
      <c r="C84" s="122">
        <v>46089</v>
      </c>
      <c r="D84" s="123"/>
      <c r="E84" s="112" t="s">
        <v>18</v>
      </c>
      <c r="F84" s="55"/>
      <c r="G84" s="21"/>
      <c r="H84" s="22" t="s">
        <v>450</v>
      </c>
      <c r="I84" s="21"/>
      <c r="J84" s="27"/>
      <c r="K84" s="7"/>
      <c r="L84" s="8"/>
      <c r="M84" s="23"/>
      <c r="N84" s="82"/>
      <c r="P84" s="6"/>
      <c r="Q84" s="7"/>
      <c r="R84" s="12"/>
    </row>
    <row r="85" spans="3:18" ht="14.4">
      <c r="C85" s="122">
        <v>46090</v>
      </c>
      <c r="D85" s="109"/>
      <c r="E85" s="112" t="s">
        <v>18</v>
      </c>
      <c r="F85" s="55"/>
      <c r="G85" s="21"/>
      <c r="H85" s="22" t="s">
        <v>450</v>
      </c>
      <c r="I85" s="21"/>
      <c r="J85" s="28"/>
      <c r="K85" s="7"/>
      <c r="L85" s="8"/>
      <c r="M85" s="21"/>
      <c r="N85" s="82"/>
      <c r="P85" s="6"/>
      <c r="Q85" s="7"/>
      <c r="R85" s="12"/>
    </row>
    <row r="86" spans="3:18" ht="14.4">
      <c r="C86" s="122">
        <v>46091</v>
      </c>
      <c r="D86" s="121"/>
      <c r="E86" s="112" t="s">
        <v>18</v>
      </c>
      <c r="F86" s="55"/>
      <c r="G86" s="21"/>
      <c r="H86" s="22" t="s">
        <v>450</v>
      </c>
      <c r="I86" s="21"/>
      <c r="J86" s="27"/>
      <c r="K86" s="7"/>
      <c r="L86" s="8"/>
      <c r="M86" s="21"/>
      <c r="N86" s="82"/>
      <c r="P86" s="6"/>
      <c r="Q86" s="7"/>
      <c r="R86" s="12"/>
    </row>
    <row r="87" spans="3:18" ht="14.4">
      <c r="C87" s="122">
        <v>46092</v>
      </c>
      <c r="D87" s="74"/>
      <c r="E87" s="112" t="s">
        <v>18</v>
      </c>
      <c r="F87" s="55"/>
      <c r="G87" s="21"/>
      <c r="H87" s="22" t="s">
        <v>450</v>
      </c>
      <c r="I87" s="21"/>
      <c r="J87" s="28"/>
      <c r="K87" s="7"/>
      <c r="L87" s="8"/>
      <c r="M87" s="21"/>
      <c r="N87" s="82"/>
      <c r="P87" s="6"/>
      <c r="Q87" s="7"/>
      <c r="R87" s="12"/>
    </row>
    <row r="88" spans="3:18" ht="14.4">
      <c r="C88" s="122">
        <v>46093</v>
      </c>
      <c r="D88" s="123"/>
      <c r="E88" s="112" t="s">
        <v>18</v>
      </c>
      <c r="F88" s="107"/>
      <c r="G88" s="139"/>
      <c r="H88" s="121" t="s">
        <v>479</v>
      </c>
      <c r="I88" s="55"/>
      <c r="J88" s="28"/>
      <c r="K88" s="7"/>
      <c r="L88" s="8"/>
      <c r="M88" s="21"/>
      <c r="N88" s="82"/>
    </row>
    <row r="89" spans="3:18" ht="15.75" customHeight="1">
      <c r="C89" s="122">
        <v>46094</v>
      </c>
      <c r="D89" s="109"/>
      <c r="E89" s="49" t="s">
        <v>17</v>
      </c>
      <c r="F89" s="108"/>
      <c r="G89" s="135"/>
      <c r="H89" s="121" t="s">
        <v>468</v>
      </c>
      <c r="I89" s="55"/>
      <c r="J89" s="28"/>
      <c r="K89" s="7"/>
      <c r="L89" s="8"/>
      <c r="M89" s="21"/>
      <c r="N89" s="82"/>
    </row>
    <row r="90" spans="3:18" ht="15.75" customHeight="1">
      <c r="C90" s="122">
        <v>46095</v>
      </c>
      <c r="D90" s="123"/>
      <c r="E90" s="112" t="s">
        <v>18</v>
      </c>
      <c r="F90" s="104"/>
      <c r="G90" s="80"/>
      <c r="H90" s="121" t="s">
        <v>480</v>
      </c>
      <c r="I90" s="55"/>
      <c r="J90" s="28"/>
      <c r="K90" s="7"/>
      <c r="L90" s="8"/>
      <c r="M90" s="21"/>
      <c r="N90" s="82"/>
    </row>
    <row r="91" spans="3:18" ht="15.75" customHeight="1">
      <c r="C91" s="122">
        <v>46096</v>
      </c>
      <c r="D91" s="109"/>
      <c r="E91" s="112" t="s">
        <v>18</v>
      </c>
      <c r="F91" s="55"/>
      <c r="G91" s="21"/>
      <c r="H91" s="121" t="s">
        <v>481</v>
      </c>
      <c r="I91" s="21"/>
      <c r="J91" s="28"/>
      <c r="K91" s="7"/>
      <c r="L91" s="8"/>
      <c r="M91" s="21"/>
      <c r="N91" s="82"/>
    </row>
    <row r="92" spans="3:18" ht="15.75" customHeight="1">
      <c r="C92" s="122">
        <v>46097</v>
      </c>
      <c r="D92" s="123"/>
      <c r="E92" s="112" t="s">
        <v>18</v>
      </c>
      <c r="F92" s="55"/>
      <c r="G92" s="21"/>
      <c r="H92" s="121" t="s">
        <v>482</v>
      </c>
      <c r="I92" s="21"/>
      <c r="J92" s="28"/>
      <c r="K92" s="7"/>
      <c r="L92" s="8"/>
      <c r="M92" s="21"/>
      <c r="N92" s="82"/>
    </row>
    <row r="93" spans="3:18" ht="15.75" customHeight="1">
      <c r="C93" s="122">
        <v>46098</v>
      </c>
      <c r="D93" s="109"/>
      <c r="E93" s="112" t="s">
        <v>18</v>
      </c>
      <c r="F93" s="55"/>
      <c r="G93" s="21"/>
      <c r="H93" s="121" t="s">
        <v>494</v>
      </c>
      <c r="I93" s="21"/>
      <c r="J93" s="28"/>
      <c r="K93" s="7"/>
      <c r="L93" s="8"/>
      <c r="M93" s="21"/>
      <c r="N93" s="82"/>
    </row>
    <row r="94" spans="3:18" ht="15.75" customHeight="1">
      <c r="C94" s="122">
        <v>46099</v>
      </c>
      <c r="D94" s="123"/>
      <c r="E94" s="112" t="s">
        <v>18</v>
      </c>
      <c r="F94" s="55"/>
      <c r="G94" s="21"/>
      <c r="H94" s="121" t="s">
        <v>520</v>
      </c>
      <c r="I94" s="21"/>
      <c r="J94" s="27"/>
      <c r="K94" s="7"/>
      <c r="L94" s="8"/>
      <c r="M94" s="21"/>
      <c r="N94" s="82"/>
    </row>
    <row r="95" spans="3:18" ht="15.75" customHeight="1">
      <c r="C95" s="122">
        <v>46100</v>
      </c>
      <c r="D95" s="109"/>
      <c r="E95" s="112" t="s">
        <v>18</v>
      </c>
      <c r="F95" s="55"/>
      <c r="G95" s="21"/>
      <c r="H95" s="121" t="s">
        <v>521</v>
      </c>
      <c r="I95" s="21"/>
      <c r="J95" s="28"/>
      <c r="K95" s="7"/>
      <c r="L95" s="8"/>
      <c r="M95" s="21"/>
      <c r="N95" s="82"/>
    </row>
    <row r="96" spans="3:18" ht="15.75" customHeight="1">
      <c r="C96" s="122">
        <v>46101</v>
      </c>
      <c r="D96" s="74"/>
      <c r="E96" s="49" t="s">
        <v>17</v>
      </c>
      <c r="F96" s="55"/>
      <c r="G96" s="21"/>
      <c r="H96" s="121" t="s">
        <v>522</v>
      </c>
      <c r="I96" s="21"/>
      <c r="J96" s="28"/>
      <c r="K96" s="7"/>
      <c r="L96" s="8"/>
      <c r="M96" s="21"/>
      <c r="N96" s="82"/>
    </row>
    <row r="97" spans="3:14" ht="15.75" customHeight="1">
      <c r="C97" s="122">
        <v>46102</v>
      </c>
      <c r="D97" s="123"/>
      <c r="E97" s="49" t="s">
        <v>17</v>
      </c>
      <c r="F97" s="55"/>
      <c r="G97" s="21"/>
      <c r="H97" s="121" t="s">
        <v>531</v>
      </c>
      <c r="I97" s="21"/>
      <c r="J97" s="28"/>
      <c r="K97" s="7"/>
      <c r="L97" s="8"/>
      <c r="M97" s="21"/>
      <c r="N97" s="82"/>
    </row>
    <row r="98" spans="3:14" ht="15.75" customHeight="1">
      <c r="C98" s="122">
        <v>46103</v>
      </c>
      <c r="D98" s="123"/>
      <c r="E98" s="112" t="s">
        <v>18</v>
      </c>
      <c r="F98" s="55"/>
      <c r="G98" s="21"/>
      <c r="H98" s="121" t="s">
        <v>533</v>
      </c>
      <c r="I98" s="21"/>
      <c r="J98" s="28"/>
      <c r="K98" s="7"/>
      <c r="L98" s="8"/>
      <c r="M98" s="21"/>
      <c r="N98" s="21"/>
    </row>
    <row r="99" spans="3:14" ht="15.75" customHeight="1">
      <c r="C99" s="122">
        <v>46104</v>
      </c>
      <c r="D99" s="123"/>
      <c r="E99" s="49" t="s">
        <v>17</v>
      </c>
      <c r="F99" s="55"/>
      <c r="G99" s="21"/>
      <c r="H99" s="121" t="s">
        <v>532</v>
      </c>
      <c r="I99" s="21"/>
      <c r="J99" s="27"/>
      <c r="K99" s="7"/>
      <c r="L99" s="8"/>
      <c r="M99" s="21"/>
      <c r="N99" s="21"/>
    </row>
    <row r="100" spans="3:14" ht="15.75" customHeight="1">
      <c r="C100" s="122">
        <v>46105</v>
      </c>
      <c r="D100" s="123"/>
      <c r="E100" s="112" t="s">
        <v>18</v>
      </c>
      <c r="F100" s="55"/>
      <c r="G100" s="21"/>
      <c r="H100" s="121" t="s">
        <v>480</v>
      </c>
      <c r="I100" s="21"/>
      <c r="J100" s="28"/>
      <c r="K100" s="7"/>
      <c r="L100" s="8"/>
      <c r="M100" s="21"/>
      <c r="N100" s="21"/>
    </row>
    <row r="101" spans="3:14" ht="15.75" customHeight="1">
      <c r="C101" s="122">
        <v>46106</v>
      </c>
      <c r="D101" s="123"/>
      <c r="E101" s="49" t="s">
        <v>17</v>
      </c>
      <c r="F101" s="55"/>
      <c r="G101" s="21"/>
      <c r="H101" s="121" t="s">
        <v>544</v>
      </c>
      <c r="I101" s="21"/>
      <c r="J101" s="28"/>
      <c r="K101" s="7"/>
      <c r="L101" s="8"/>
      <c r="M101" s="21"/>
      <c r="N101" s="21"/>
    </row>
    <row r="102" spans="3:14" ht="15.75" customHeight="1">
      <c r="C102" s="122">
        <v>46107</v>
      </c>
      <c r="D102" s="123"/>
      <c r="E102" s="112" t="s">
        <v>18</v>
      </c>
      <c r="F102" s="55"/>
      <c r="G102" s="21"/>
      <c r="H102" s="121" t="s">
        <v>548</v>
      </c>
      <c r="I102" s="21"/>
      <c r="J102" s="28"/>
      <c r="K102" s="7"/>
      <c r="L102" s="8"/>
      <c r="M102" s="21"/>
      <c r="N102" s="21"/>
    </row>
    <row r="103" spans="3:14" ht="15.75" customHeight="1">
      <c r="C103" s="122">
        <v>46108</v>
      </c>
      <c r="D103" s="123"/>
      <c r="E103" s="112" t="s">
        <v>18</v>
      </c>
      <c r="F103" s="55"/>
      <c r="G103" s="21"/>
      <c r="H103" s="121" t="s">
        <v>556</v>
      </c>
      <c r="I103" s="21"/>
      <c r="J103" s="28"/>
      <c r="K103" s="7"/>
      <c r="L103" s="8"/>
      <c r="M103" s="21"/>
      <c r="N103" s="21"/>
    </row>
    <row r="104" spans="3:14" ht="15.75" customHeight="1">
      <c r="C104" s="122">
        <v>46109</v>
      </c>
      <c r="D104" s="123"/>
      <c r="E104" s="49" t="s">
        <v>17</v>
      </c>
      <c r="F104" s="55"/>
      <c r="G104" s="21"/>
      <c r="H104" s="121" t="s">
        <v>544</v>
      </c>
      <c r="I104" s="21"/>
      <c r="J104" s="28"/>
      <c r="K104" s="7"/>
      <c r="L104" s="8"/>
      <c r="M104" s="21"/>
      <c r="N104" s="21"/>
    </row>
    <row r="105" spans="3:14" ht="15.75" customHeight="1">
      <c r="C105" s="122">
        <v>46110</v>
      </c>
      <c r="D105" s="109"/>
      <c r="E105" s="49" t="s">
        <v>17</v>
      </c>
      <c r="F105" s="55"/>
      <c r="G105" s="21"/>
      <c r="H105" s="121" t="s">
        <v>544</v>
      </c>
      <c r="I105" s="21"/>
      <c r="J105" s="28"/>
      <c r="K105" s="7"/>
      <c r="L105" s="8"/>
      <c r="M105" s="21"/>
      <c r="N105" s="21"/>
    </row>
    <row r="106" spans="3:14" ht="15.75" customHeight="1">
      <c r="C106" s="122">
        <v>46111</v>
      </c>
      <c r="D106" s="123"/>
      <c r="E106" s="112" t="s">
        <v>18</v>
      </c>
      <c r="F106" s="55"/>
      <c r="G106" s="21"/>
      <c r="H106" s="121" t="s">
        <v>556</v>
      </c>
      <c r="I106" s="21"/>
      <c r="J106" s="28"/>
      <c r="K106" s="7"/>
      <c r="L106" s="8"/>
      <c r="M106" s="21"/>
      <c r="N106" s="21"/>
    </row>
    <row r="107" spans="3:14" ht="15.75" customHeight="1">
      <c r="C107" s="122">
        <v>46112</v>
      </c>
      <c r="D107" s="109"/>
      <c r="E107" s="112" t="s">
        <v>18</v>
      </c>
      <c r="F107" s="55"/>
      <c r="G107" s="21"/>
      <c r="H107" s="121" t="s">
        <v>556</v>
      </c>
      <c r="I107" s="21"/>
      <c r="J107" s="28"/>
      <c r="K107" s="7"/>
      <c r="L107" s="8"/>
      <c r="M107" s="21"/>
      <c r="N107" s="21"/>
    </row>
    <row r="108" spans="3:14" ht="15.75" customHeight="1">
      <c r="C108" s="122">
        <v>46113</v>
      </c>
      <c r="D108" s="123"/>
      <c r="E108" s="49" t="s">
        <v>17</v>
      </c>
      <c r="F108" s="55"/>
      <c r="G108" s="78"/>
      <c r="H108" s="121" t="s">
        <v>544</v>
      </c>
      <c r="I108" s="55"/>
      <c r="J108" s="28"/>
      <c r="K108" s="7"/>
      <c r="L108" s="8"/>
      <c r="M108" s="21"/>
      <c r="N108" s="21"/>
    </row>
    <row r="109" spans="3:14" ht="15.75" customHeight="1">
      <c r="C109" s="122">
        <v>46114</v>
      </c>
      <c r="E109" s="49" t="s">
        <v>17</v>
      </c>
      <c r="H109" s="121" t="s">
        <v>544</v>
      </c>
      <c r="K109" s="2"/>
      <c r="L109" s="2"/>
    </row>
    <row r="110" spans="3:14" ht="15.75" customHeight="1">
      <c r="C110" s="122">
        <v>46115</v>
      </c>
      <c r="E110" s="49" t="s">
        <v>17</v>
      </c>
      <c r="H110" s="121" t="s">
        <v>544</v>
      </c>
      <c r="K110" s="2"/>
      <c r="L110" s="2"/>
    </row>
    <row r="111" spans="3:14" ht="15.75" customHeight="1">
      <c r="C111" s="122">
        <v>46116</v>
      </c>
      <c r="E111" s="112" t="s">
        <v>18</v>
      </c>
      <c r="H111" s="121" t="s">
        <v>556</v>
      </c>
      <c r="K111" s="2"/>
      <c r="L111" s="2"/>
    </row>
    <row r="112" spans="3:14" ht="15.75" customHeight="1">
      <c r="C112" s="122">
        <v>46117</v>
      </c>
      <c r="E112" s="112" t="s">
        <v>18</v>
      </c>
      <c r="H112" s="121" t="s">
        <v>556</v>
      </c>
      <c r="K112" s="2"/>
      <c r="L112" s="2"/>
    </row>
    <row r="113" spans="3:12" ht="15.75" customHeight="1">
      <c r="C113" s="122">
        <v>46118</v>
      </c>
      <c r="E113" s="112" t="s">
        <v>18</v>
      </c>
      <c r="H113" s="121" t="s">
        <v>556</v>
      </c>
      <c r="K113" s="2"/>
      <c r="L113" s="2"/>
    </row>
    <row r="114" spans="3:12" ht="15.75" customHeight="1">
      <c r="C114" s="122">
        <v>46119</v>
      </c>
      <c r="E114" s="112" t="s">
        <v>18</v>
      </c>
      <c r="H114" s="121" t="s">
        <v>556</v>
      </c>
      <c r="K114" s="2"/>
      <c r="L114" s="2"/>
    </row>
    <row r="115" spans="3:12" ht="15.75" customHeight="1">
      <c r="C115" s="122">
        <v>46120</v>
      </c>
      <c r="E115" s="112" t="s">
        <v>18</v>
      </c>
      <c r="H115" s="121" t="s">
        <v>556</v>
      </c>
      <c r="K115" s="2"/>
      <c r="L115" s="2"/>
    </row>
    <row r="116" spans="3:12" ht="15.75" customHeight="1">
      <c r="C116" s="122">
        <v>46121</v>
      </c>
      <c r="E116" s="112" t="s">
        <v>18</v>
      </c>
      <c r="H116" s="121" t="s">
        <v>556</v>
      </c>
      <c r="K116" s="2"/>
      <c r="L116" s="2"/>
    </row>
    <row r="117" spans="3:12" ht="15.75" customHeight="1">
      <c r="C117" s="122">
        <v>46122</v>
      </c>
      <c r="E117" s="112" t="s">
        <v>18</v>
      </c>
      <c r="H117" s="121" t="s">
        <v>556</v>
      </c>
      <c r="K117" s="2"/>
      <c r="L117" s="2"/>
    </row>
    <row r="118" spans="3:12" ht="15.75" customHeight="1">
      <c r="C118" s="122">
        <v>46123</v>
      </c>
      <c r="E118" s="49" t="s">
        <v>17</v>
      </c>
      <c r="H118" s="121" t="s">
        <v>544</v>
      </c>
      <c r="K118" s="2"/>
      <c r="L118" s="2"/>
    </row>
    <row r="119" spans="3:12" ht="15.75" customHeight="1">
      <c r="C119" s="122">
        <v>46124</v>
      </c>
      <c r="E119" s="49" t="s">
        <v>17</v>
      </c>
      <c r="H119" s="121" t="s">
        <v>544</v>
      </c>
      <c r="K119" s="2"/>
      <c r="L119" s="2"/>
    </row>
    <row r="120" spans="3:12" ht="15.75" customHeight="1">
      <c r="C120" s="122">
        <v>46125</v>
      </c>
      <c r="E120" s="112" t="s">
        <v>18</v>
      </c>
      <c r="H120" s="121" t="s">
        <v>556</v>
      </c>
      <c r="K120" s="2"/>
      <c r="L120" s="2"/>
    </row>
    <row r="121" spans="3:12" ht="15.75" customHeight="1">
      <c r="C121" s="122">
        <v>46126</v>
      </c>
      <c r="E121" s="112" t="s">
        <v>18</v>
      </c>
      <c r="H121" s="121" t="s">
        <v>556</v>
      </c>
      <c r="K121" s="2"/>
      <c r="L121" s="2"/>
    </row>
    <row r="122" spans="3:12" ht="15.75" customHeight="1">
      <c r="C122" s="122">
        <v>46127</v>
      </c>
      <c r="E122" s="49" t="s">
        <v>17</v>
      </c>
      <c r="H122" s="121" t="s">
        <v>544</v>
      </c>
      <c r="K122" s="2"/>
      <c r="L122" s="2"/>
    </row>
    <row r="123" spans="3:12" ht="15.75" customHeight="1">
      <c r="C123" s="122">
        <v>46128</v>
      </c>
      <c r="E123" s="112" t="s">
        <v>18</v>
      </c>
      <c r="H123" s="121" t="s">
        <v>556</v>
      </c>
      <c r="K123" s="2"/>
      <c r="L123" s="2"/>
    </row>
    <row r="124" spans="3:12" ht="15.75" customHeight="1">
      <c r="C124" s="122">
        <v>46129</v>
      </c>
      <c r="E124" s="49" t="s">
        <v>17</v>
      </c>
      <c r="H124" s="121" t="s">
        <v>544</v>
      </c>
      <c r="K124" s="2"/>
      <c r="L124" s="2"/>
    </row>
    <row r="125" spans="3:12" ht="15.75" customHeight="1">
      <c r="C125" s="122">
        <v>46130</v>
      </c>
      <c r="E125" s="112" t="s">
        <v>18</v>
      </c>
      <c r="H125" s="121" t="s">
        <v>556</v>
      </c>
      <c r="K125" s="2"/>
      <c r="L125" s="2"/>
    </row>
    <row r="126" spans="3:12" ht="15.75" customHeight="1">
      <c r="C126" s="122">
        <v>46131</v>
      </c>
      <c r="E126" s="112" t="s">
        <v>18</v>
      </c>
      <c r="H126" s="121" t="s">
        <v>556</v>
      </c>
      <c r="K126" s="2"/>
      <c r="L126" s="2"/>
    </row>
    <row r="127" spans="3:12" ht="15.75" customHeight="1">
      <c r="C127" s="122">
        <v>46132</v>
      </c>
      <c r="E127" s="112" t="s">
        <v>18</v>
      </c>
      <c r="H127" s="121" t="s">
        <v>556</v>
      </c>
      <c r="K127" s="2"/>
      <c r="L127" s="2"/>
    </row>
    <row r="128" spans="3:12" ht="15.75" customHeight="1">
      <c r="C128" s="122">
        <v>46133</v>
      </c>
      <c r="E128" s="112" t="s">
        <v>18</v>
      </c>
      <c r="H128" s="121" t="s">
        <v>556</v>
      </c>
      <c r="K128" s="2"/>
      <c r="L128" s="2"/>
    </row>
    <row r="129" spans="3:12" ht="15.75" customHeight="1">
      <c r="C129" s="122">
        <v>46134</v>
      </c>
      <c r="E129" s="112" t="s">
        <v>18</v>
      </c>
      <c r="H129" s="121" t="s">
        <v>556</v>
      </c>
      <c r="K129" s="2"/>
      <c r="L129" s="2"/>
    </row>
    <row r="130" spans="3:12" ht="15.75" customHeight="1">
      <c r="C130" s="122">
        <v>46135</v>
      </c>
      <c r="E130" s="49" t="s">
        <v>17</v>
      </c>
      <c r="H130" s="121" t="s">
        <v>544</v>
      </c>
      <c r="K130" s="2"/>
      <c r="L130" s="2"/>
    </row>
    <row r="131" spans="3:12" ht="15.75" customHeight="1">
      <c r="C131" s="122">
        <v>46136</v>
      </c>
      <c r="E131" s="112" t="s">
        <v>18</v>
      </c>
      <c r="H131" s="121" t="s">
        <v>556</v>
      </c>
      <c r="K131" s="2"/>
      <c r="L131" s="2"/>
    </row>
    <row r="132" spans="3:12" ht="15.75" customHeight="1">
      <c r="C132" s="122">
        <v>46137</v>
      </c>
      <c r="E132" s="49" t="s">
        <v>17</v>
      </c>
      <c r="H132" s="121" t="s">
        <v>544</v>
      </c>
      <c r="K132" s="2"/>
      <c r="L132" s="2"/>
    </row>
    <row r="133" spans="3:12" ht="15.75" customHeight="1">
      <c r="C133" s="122">
        <v>46138</v>
      </c>
      <c r="E133" s="49" t="s">
        <v>17</v>
      </c>
      <c r="H133" s="121" t="s">
        <v>544</v>
      </c>
      <c r="K133" s="2"/>
      <c r="L133" s="2"/>
    </row>
    <row r="134" spans="3:12" ht="15.75" customHeight="1">
      <c r="C134" s="122"/>
      <c r="K134" s="2"/>
      <c r="L134" s="2"/>
    </row>
    <row r="135" spans="3:12" ht="15.75" customHeight="1">
      <c r="C135" s="13"/>
      <c r="K135" s="2"/>
      <c r="L135" s="2"/>
    </row>
    <row r="136" spans="3:12" ht="15.75" customHeight="1">
      <c r="C136" s="13"/>
      <c r="K136" s="2"/>
      <c r="L136" s="2"/>
    </row>
    <row r="137" spans="3:12" ht="15.75" customHeight="1">
      <c r="C137" s="13"/>
      <c r="K137" s="2"/>
      <c r="L137" s="2"/>
    </row>
    <row r="138" spans="3:12" ht="15.75" customHeight="1">
      <c r="C138" s="13"/>
      <c r="K138" s="2"/>
      <c r="L138" s="2"/>
    </row>
    <row r="139" spans="3:12" ht="15.75" customHeight="1">
      <c r="C139" s="13"/>
      <c r="K139" s="2"/>
      <c r="L139" s="2"/>
    </row>
    <row r="140" spans="3:12" ht="15.75" customHeight="1">
      <c r="C140" s="13"/>
      <c r="K140" s="2"/>
      <c r="L140" s="2"/>
    </row>
    <row r="141" spans="3:12" ht="15.75" customHeight="1">
      <c r="C141" s="13"/>
      <c r="K141" s="2"/>
      <c r="L141" s="2"/>
    </row>
    <row r="142" spans="3:12" ht="15.75" customHeight="1">
      <c r="C142" s="13"/>
      <c r="K142" s="2"/>
      <c r="L142" s="2"/>
    </row>
    <row r="143" spans="3:12" ht="15.75" customHeight="1">
      <c r="C143" s="13"/>
      <c r="K143" s="2"/>
      <c r="L143" s="2"/>
    </row>
    <row r="144" spans="3:12" ht="15.75" customHeight="1">
      <c r="C144" s="13"/>
      <c r="K144" s="2"/>
      <c r="L144" s="2"/>
    </row>
    <row r="145" spans="3:12" ht="15.75" customHeight="1">
      <c r="C145" s="13"/>
      <c r="K145" s="2"/>
      <c r="L145" s="2"/>
    </row>
    <row r="146" spans="3:12" ht="15.75" customHeight="1">
      <c r="C146" s="13"/>
      <c r="K146" s="2"/>
      <c r="L146" s="2"/>
    </row>
    <row r="147" spans="3:12" ht="15.75" customHeight="1">
      <c r="C147" s="13"/>
      <c r="K147" s="2"/>
      <c r="L147" s="2"/>
    </row>
    <row r="148" spans="3:12" ht="15.75" customHeight="1">
      <c r="C148" s="13"/>
      <c r="K148" s="2"/>
      <c r="L148" s="2"/>
    </row>
    <row r="149" spans="3:12" ht="15.75" customHeight="1">
      <c r="C149" s="13"/>
      <c r="K149" s="2"/>
      <c r="L149" s="2"/>
    </row>
    <row r="150" spans="3:12" ht="15.75" customHeight="1">
      <c r="C150" s="13"/>
      <c r="K150" s="2"/>
      <c r="L150" s="2"/>
    </row>
    <row r="151" spans="3:12" ht="15.75" customHeight="1">
      <c r="C151" s="13"/>
      <c r="K151" s="2"/>
      <c r="L151" s="2"/>
    </row>
    <row r="152" spans="3:12" ht="15.75" customHeight="1">
      <c r="C152" s="13"/>
      <c r="K152" s="2"/>
      <c r="L152" s="2"/>
    </row>
    <row r="153" spans="3:12" ht="15.75" customHeight="1">
      <c r="C153" s="13"/>
      <c r="K153" s="2"/>
      <c r="L153" s="2"/>
    </row>
    <row r="154" spans="3:12" ht="15.75" customHeight="1">
      <c r="C154" s="13"/>
      <c r="K154" s="2"/>
      <c r="L154" s="2"/>
    </row>
    <row r="155" spans="3:12" ht="15.75" customHeight="1">
      <c r="C155" s="13"/>
      <c r="K155" s="2"/>
      <c r="L155" s="2"/>
    </row>
    <row r="156" spans="3:12" ht="15.75" customHeight="1">
      <c r="C156" s="13"/>
      <c r="K156" s="2"/>
      <c r="L156" s="2"/>
    </row>
    <row r="157" spans="3:12" ht="15.75" customHeight="1">
      <c r="C157" s="13"/>
      <c r="K157" s="2"/>
      <c r="L157" s="2"/>
    </row>
    <row r="158" spans="3:12" ht="15.75" customHeight="1">
      <c r="C158" s="13"/>
      <c r="K158" s="2"/>
      <c r="L158" s="2"/>
    </row>
    <row r="159" spans="3:12" ht="15.75" customHeight="1">
      <c r="C159" s="13"/>
      <c r="K159" s="2"/>
      <c r="L159" s="2"/>
    </row>
    <row r="160" spans="3:12" ht="15.75" customHeight="1">
      <c r="C160" s="13"/>
      <c r="K160" s="2"/>
      <c r="L160" s="2"/>
    </row>
    <row r="161" spans="3:12" ht="15.75" customHeight="1">
      <c r="C161" s="13"/>
      <c r="K161" s="2"/>
      <c r="L161" s="2"/>
    </row>
    <row r="162" spans="3:12" ht="15.75" customHeight="1">
      <c r="C162" s="13"/>
      <c r="K162" s="2"/>
      <c r="L162" s="2"/>
    </row>
    <row r="163" spans="3:12" ht="15.75" customHeight="1">
      <c r="C163" s="13"/>
      <c r="K163" s="2"/>
      <c r="L163" s="2"/>
    </row>
    <row r="164" spans="3:12" ht="15.75" customHeight="1">
      <c r="C164" s="13"/>
      <c r="K164" s="2"/>
      <c r="L164" s="2"/>
    </row>
    <row r="165" spans="3:12" ht="15.75" customHeight="1">
      <c r="C165" s="13"/>
      <c r="K165" s="2"/>
      <c r="L165" s="2"/>
    </row>
    <row r="166" spans="3:12" ht="15.75" customHeight="1">
      <c r="C166" s="13"/>
      <c r="K166" s="2"/>
      <c r="L166" s="2"/>
    </row>
    <row r="167" spans="3:12" ht="15.75" customHeight="1">
      <c r="C167" s="13"/>
      <c r="K167" s="2"/>
      <c r="L167" s="2"/>
    </row>
    <row r="168" spans="3:12" ht="15.75" customHeight="1">
      <c r="C168" s="13"/>
      <c r="K168" s="2"/>
      <c r="L168" s="2"/>
    </row>
    <row r="169" spans="3:12" ht="15.75" customHeight="1">
      <c r="C169" s="13"/>
      <c r="K169" s="2"/>
      <c r="L169" s="2"/>
    </row>
    <row r="170" spans="3:12" ht="15.75" customHeight="1">
      <c r="C170" s="13"/>
      <c r="K170" s="2"/>
      <c r="L170" s="2"/>
    </row>
    <row r="171" spans="3:12" ht="15.75" customHeight="1">
      <c r="C171" s="13"/>
      <c r="K171" s="2"/>
      <c r="L171" s="2"/>
    </row>
    <row r="172" spans="3:12" ht="15.75" customHeight="1">
      <c r="C172" s="13"/>
      <c r="K172" s="2"/>
      <c r="L172" s="2"/>
    </row>
    <row r="173" spans="3:12" ht="15.75" customHeight="1">
      <c r="C173" s="13"/>
      <c r="K173" s="2"/>
      <c r="L173" s="2"/>
    </row>
    <row r="174" spans="3:12" ht="15.75" customHeight="1">
      <c r="C174" s="13"/>
      <c r="K174" s="2"/>
      <c r="L174" s="2"/>
    </row>
    <row r="175" spans="3:12" ht="15.75" customHeight="1">
      <c r="C175" s="13"/>
      <c r="K175" s="2"/>
      <c r="L175" s="2"/>
    </row>
    <row r="176" spans="3:12" ht="15.75" customHeight="1">
      <c r="C176" s="13"/>
      <c r="K176" s="2"/>
      <c r="L176" s="2"/>
    </row>
    <row r="177" spans="3:12" ht="15.75" customHeight="1">
      <c r="C177" s="13"/>
      <c r="K177" s="2"/>
      <c r="L177" s="2"/>
    </row>
    <row r="178" spans="3:12" ht="15.75" customHeight="1">
      <c r="C178" s="13"/>
      <c r="K178" s="2"/>
      <c r="L178" s="2"/>
    </row>
    <row r="179" spans="3:12" ht="15.75" customHeight="1">
      <c r="C179" s="13"/>
      <c r="K179" s="2"/>
      <c r="L179" s="2"/>
    </row>
    <row r="180" spans="3:12" ht="15.75" customHeight="1">
      <c r="C180" s="13"/>
      <c r="K180" s="2"/>
      <c r="L180" s="2"/>
    </row>
    <row r="181" spans="3:12" ht="15.75" customHeight="1">
      <c r="C181" s="13"/>
      <c r="K181" s="2"/>
      <c r="L181" s="2"/>
    </row>
    <row r="182" spans="3:12" ht="15.75" customHeight="1">
      <c r="C182" s="13"/>
      <c r="K182" s="2"/>
      <c r="L182" s="2"/>
    </row>
    <row r="183" spans="3:12" ht="15.75" customHeight="1">
      <c r="C183" s="13"/>
      <c r="K183" s="2"/>
      <c r="L183" s="2"/>
    </row>
    <row r="184" spans="3:12" ht="15.75" customHeight="1">
      <c r="C184" s="13"/>
      <c r="K184" s="2"/>
      <c r="L184" s="2"/>
    </row>
    <row r="185" spans="3:12" ht="15.75" customHeight="1">
      <c r="C185" s="13"/>
      <c r="K185" s="2"/>
      <c r="L185" s="2"/>
    </row>
    <row r="186" spans="3:12" ht="15.75" customHeight="1">
      <c r="C186" s="13"/>
      <c r="K186" s="2"/>
      <c r="L186" s="2"/>
    </row>
    <row r="187" spans="3:12" ht="15.75" customHeight="1">
      <c r="C187" s="13"/>
      <c r="K187" s="2"/>
      <c r="L187" s="2"/>
    </row>
    <row r="188" spans="3:12" ht="15.75" customHeight="1">
      <c r="C188" s="13"/>
      <c r="K188" s="2"/>
      <c r="L188" s="2"/>
    </row>
    <row r="189" spans="3:12" ht="15.75" customHeight="1">
      <c r="C189" s="13"/>
      <c r="K189" s="2"/>
      <c r="L189" s="2"/>
    </row>
    <row r="190" spans="3:12" ht="15.75" customHeight="1">
      <c r="C190" s="13"/>
      <c r="K190" s="2"/>
      <c r="L190" s="2"/>
    </row>
    <row r="191" spans="3:12" ht="15.75" customHeight="1">
      <c r="C191" s="13"/>
      <c r="K191" s="2"/>
      <c r="L191" s="2"/>
    </row>
    <row r="192" spans="3:12" ht="15.75" customHeight="1">
      <c r="C192" s="13"/>
      <c r="K192" s="2"/>
      <c r="L192" s="2"/>
    </row>
    <row r="193" spans="3:12" ht="15.75" customHeight="1">
      <c r="C193" s="13"/>
      <c r="K193" s="2"/>
      <c r="L193" s="2"/>
    </row>
    <row r="194" spans="3:12" ht="15.75" customHeight="1">
      <c r="C194" s="13"/>
      <c r="K194" s="2"/>
      <c r="L194" s="2"/>
    </row>
    <row r="195" spans="3:12" ht="15.75" customHeight="1">
      <c r="C195" s="13"/>
      <c r="K195" s="2"/>
      <c r="L195" s="2"/>
    </row>
    <row r="196" spans="3:12" ht="15.75" customHeight="1">
      <c r="C196" s="13"/>
      <c r="K196" s="2"/>
      <c r="L196" s="2"/>
    </row>
    <row r="197" spans="3:12" ht="15.75" customHeight="1">
      <c r="C197" s="13"/>
      <c r="K197" s="2"/>
      <c r="L197" s="2"/>
    </row>
    <row r="198" spans="3:12" ht="15.75" customHeight="1">
      <c r="C198" s="13"/>
      <c r="K198" s="2"/>
      <c r="L198" s="2"/>
    </row>
    <row r="199" spans="3:12" ht="15.75" customHeight="1">
      <c r="C199" s="13"/>
      <c r="K199" s="2"/>
      <c r="L199" s="2"/>
    </row>
    <row r="200" spans="3:12" ht="15.75" customHeight="1">
      <c r="C200" s="13"/>
      <c r="K200" s="2"/>
      <c r="L200" s="2"/>
    </row>
    <row r="201" spans="3:12" ht="15.75" customHeight="1">
      <c r="C201" s="13"/>
      <c r="K201" s="2"/>
      <c r="L201" s="2"/>
    </row>
    <row r="202" spans="3:12" ht="15.75" customHeight="1">
      <c r="C202" s="13"/>
      <c r="K202" s="2"/>
      <c r="L202" s="2"/>
    </row>
    <row r="203" spans="3:12" ht="15.75" customHeight="1">
      <c r="C203" s="13"/>
      <c r="K203" s="2"/>
      <c r="L203" s="2"/>
    </row>
    <row r="204" spans="3:12" ht="15.75" customHeight="1">
      <c r="C204" s="13"/>
      <c r="K204" s="2"/>
      <c r="L204" s="2"/>
    </row>
    <row r="205" spans="3:12" ht="15.75" customHeight="1">
      <c r="C205" s="13"/>
      <c r="K205" s="2"/>
      <c r="L205" s="2"/>
    </row>
    <row r="206" spans="3:12" ht="15.75" customHeight="1">
      <c r="C206" s="13"/>
      <c r="K206" s="2"/>
      <c r="L206" s="2"/>
    </row>
    <row r="207" spans="3:12" ht="15.75" customHeight="1">
      <c r="C207" s="13"/>
      <c r="K207" s="2"/>
      <c r="L207" s="2"/>
    </row>
    <row r="208" spans="3:12" ht="15.75" customHeight="1">
      <c r="C208" s="13"/>
      <c r="K208" s="2"/>
      <c r="L208" s="2"/>
    </row>
    <row r="209" spans="3:12" ht="15.75" customHeight="1">
      <c r="C209" s="13"/>
      <c r="K209" s="2"/>
      <c r="L209" s="2"/>
    </row>
    <row r="210" spans="3:12" ht="15.75" customHeight="1">
      <c r="C210" s="13"/>
      <c r="K210" s="2"/>
      <c r="L210" s="2"/>
    </row>
    <row r="211" spans="3:12" ht="15.75" customHeight="1">
      <c r="C211" s="13"/>
      <c r="K211" s="2"/>
      <c r="L211" s="2"/>
    </row>
    <row r="212" spans="3:12" ht="15.75" customHeight="1">
      <c r="C212" s="13"/>
      <c r="K212" s="2"/>
      <c r="L212" s="2"/>
    </row>
    <row r="213" spans="3:12" ht="15.75" customHeight="1">
      <c r="C213" s="13"/>
      <c r="K213" s="2"/>
      <c r="L213" s="2"/>
    </row>
    <row r="214" spans="3:12" ht="15.75" customHeight="1">
      <c r="C214" s="13"/>
      <c r="K214" s="2"/>
      <c r="L214" s="2"/>
    </row>
    <row r="215" spans="3:12" ht="15.75" customHeight="1">
      <c r="C215" s="13"/>
      <c r="K215" s="2"/>
      <c r="L215" s="2"/>
    </row>
    <row r="216" spans="3:12" ht="15.75" customHeight="1">
      <c r="C216" s="13"/>
      <c r="K216" s="2"/>
      <c r="L216" s="2"/>
    </row>
    <row r="217" spans="3:12" ht="15.75" customHeight="1">
      <c r="C217" s="13"/>
      <c r="K217" s="2"/>
      <c r="L217" s="2"/>
    </row>
    <row r="218" spans="3:12" ht="15.75" customHeight="1">
      <c r="C218" s="13"/>
      <c r="K218" s="2"/>
      <c r="L218" s="2"/>
    </row>
    <row r="219" spans="3:12" ht="15.75" customHeight="1">
      <c r="C219" s="13"/>
      <c r="K219" s="2"/>
      <c r="L219" s="2"/>
    </row>
    <row r="220" spans="3:12" ht="15.75" customHeight="1">
      <c r="C220" s="13"/>
      <c r="K220" s="2"/>
      <c r="L220" s="2"/>
    </row>
    <row r="221" spans="3:12" ht="15.75" customHeight="1">
      <c r="C221" s="13"/>
      <c r="K221" s="2"/>
      <c r="L221" s="2"/>
    </row>
    <row r="222" spans="3:12" ht="15.75" customHeight="1">
      <c r="C222" s="13"/>
      <c r="K222" s="2"/>
      <c r="L222" s="2"/>
    </row>
    <row r="223" spans="3:12" ht="15.75" customHeight="1">
      <c r="C223" s="13"/>
      <c r="K223" s="2"/>
      <c r="L223" s="2"/>
    </row>
    <row r="224" spans="3:12" ht="15.75" customHeight="1">
      <c r="C224" s="13"/>
      <c r="K224" s="2"/>
      <c r="L224" s="2"/>
    </row>
    <row r="225" spans="3:12" ht="15.75" customHeight="1">
      <c r="C225" s="13"/>
      <c r="K225" s="2"/>
      <c r="L225" s="2"/>
    </row>
    <row r="226" spans="3:12" ht="15.75" customHeight="1">
      <c r="C226" s="13"/>
      <c r="K226" s="2"/>
      <c r="L226" s="2"/>
    </row>
    <row r="227" spans="3:12" ht="15.75" customHeight="1">
      <c r="C227" s="13"/>
      <c r="K227" s="2"/>
      <c r="L227" s="2"/>
    </row>
    <row r="228" spans="3:12" ht="15.75" customHeight="1">
      <c r="C228" s="13"/>
      <c r="K228" s="2"/>
      <c r="L228" s="2"/>
    </row>
    <row r="229" spans="3:12" ht="15.75" customHeight="1">
      <c r="C229" s="13"/>
      <c r="K229" s="2"/>
      <c r="L229" s="2"/>
    </row>
    <row r="230" spans="3:12" ht="15.75" customHeight="1">
      <c r="C230" s="13"/>
      <c r="K230" s="2"/>
      <c r="L230" s="2"/>
    </row>
    <row r="231" spans="3:12" ht="15.75" customHeight="1">
      <c r="C231" s="13"/>
      <c r="K231" s="2"/>
      <c r="L231" s="2"/>
    </row>
    <row r="232" spans="3:12" ht="15.75" customHeight="1">
      <c r="C232" s="13"/>
      <c r="K232" s="2"/>
      <c r="L232" s="2"/>
    </row>
    <row r="233" spans="3:12" ht="15.75" customHeight="1">
      <c r="C233" s="13"/>
      <c r="K233" s="2"/>
      <c r="L233" s="2"/>
    </row>
    <row r="234" spans="3:12" ht="15.75" customHeight="1">
      <c r="C234" s="13"/>
      <c r="K234" s="2"/>
      <c r="L234" s="2"/>
    </row>
    <row r="235" spans="3:12" ht="15.75" customHeight="1">
      <c r="C235" s="13"/>
      <c r="K235" s="2"/>
      <c r="L235" s="2"/>
    </row>
    <row r="236" spans="3:12" ht="15.75" customHeight="1">
      <c r="C236" s="13"/>
      <c r="K236" s="2"/>
      <c r="L236" s="2"/>
    </row>
    <row r="237" spans="3:12" ht="15.75" customHeight="1">
      <c r="C237" s="13"/>
      <c r="K237" s="2"/>
      <c r="L237" s="2"/>
    </row>
    <row r="238" spans="3:12" ht="15.75" customHeight="1">
      <c r="C238" s="13"/>
      <c r="K238" s="2"/>
      <c r="L238" s="2"/>
    </row>
    <row r="239" spans="3:12" ht="15.75" customHeight="1">
      <c r="C239" s="13"/>
      <c r="K239" s="2"/>
      <c r="L239" s="2"/>
    </row>
    <row r="240" spans="3:12" ht="15.75" customHeight="1">
      <c r="C240" s="13"/>
      <c r="K240" s="2"/>
      <c r="L240" s="2"/>
    </row>
    <row r="241" spans="3:12" ht="15.75" customHeight="1">
      <c r="C241" s="13"/>
      <c r="K241" s="2"/>
      <c r="L241" s="2"/>
    </row>
    <row r="242" spans="3:12" ht="15.75" customHeight="1">
      <c r="C242" s="13"/>
      <c r="K242" s="2"/>
      <c r="L242" s="2"/>
    </row>
    <row r="243" spans="3:12" ht="15.75" customHeight="1">
      <c r="C243" s="13"/>
      <c r="K243" s="2"/>
      <c r="L243" s="2"/>
    </row>
    <row r="244" spans="3:12" ht="15.75" customHeight="1">
      <c r="C244" s="13"/>
      <c r="K244" s="2"/>
      <c r="L244" s="2"/>
    </row>
    <row r="245" spans="3:12" ht="15.75" customHeight="1">
      <c r="C245" s="13"/>
      <c r="K245" s="2"/>
      <c r="L245" s="2"/>
    </row>
    <row r="246" spans="3:12" ht="15.75" customHeight="1">
      <c r="C246" s="13"/>
      <c r="K246" s="2"/>
      <c r="L246" s="2"/>
    </row>
    <row r="247" spans="3:12" ht="15.75" customHeight="1">
      <c r="C247" s="13"/>
      <c r="K247" s="2"/>
      <c r="L247" s="2"/>
    </row>
    <row r="248" spans="3:12" ht="15.75" customHeight="1">
      <c r="C248" s="13"/>
      <c r="K248" s="2"/>
      <c r="L248" s="2"/>
    </row>
    <row r="249" spans="3:12" ht="15.75" customHeight="1">
      <c r="C249" s="13"/>
      <c r="K249" s="2"/>
      <c r="L249" s="2"/>
    </row>
    <row r="250" spans="3:12" ht="15.75" customHeight="1">
      <c r="C250" s="13"/>
      <c r="K250" s="2"/>
      <c r="L250" s="2"/>
    </row>
    <row r="251" spans="3:12" ht="15.75" customHeight="1">
      <c r="C251" s="13"/>
      <c r="K251" s="2"/>
      <c r="L251" s="2"/>
    </row>
    <row r="252" spans="3:12" ht="15.75" customHeight="1">
      <c r="C252" s="13"/>
      <c r="K252" s="2"/>
      <c r="L252" s="2"/>
    </row>
    <row r="253" spans="3:12" ht="15.75" customHeight="1">
      <c r="C253" s="13"/>
      <c r="K253" s="2"/>
      <c r="L253" s="2"/>
    </row>
    <row r="254" spans="3:12" ht="15.75" customHeight="1">
      <c r="C254" s="13"/>
      <c r="K254" s="2"/>
      <c r="L254" s="2"/>
    </row>
    <row r="255" spans="3:12" ht="15.75" customHeight="1">
      <c r="C255" s="13"/>
      <c r="K255" s="2"/>
      <c r="L255" s="2"/>
    </row>
    <row r="256" spans="3:12" ht="15.75" customHeight="1">
      <c r="C256" s="13"/>
      <c r="K256" s="2"/>
      <c r="L256" s="2"/>
    </row>
    <row r="257" spans="3:12" ht="15.75" customHeight="1">
      <c r="C257" s="13"/>
      <c r="K257" s="2"/>
      <c r="L257" s="2"/>
    </row>
    <row r="258" spans="3:12" ht="15.75" customHeight="1">
      <c r="C258" s="13"/>
      <c r="K258" s="2"/>
      <c r="L258" s="2"/>
    </row>
    <row r="259" spans="3:12" ht="15.75" customHeight="1">
      <c r="C259" s="13"/>
      <c r="K259" s="2"/>
      <c r="L259" s="2"/>
    </row>
    <row r="260" spans="3:12" ht="15.75" customHeight="1">
      <c r="C260" s="13"/>
      <c r="K260" s="2"/>
      <c r="L260" s="2"/>
    </row>
    <row r="261" spans="3:12" ht="15.75" customHeight="1">
      <c r="C261" s="13"/>
      <c r="K261" s="2"/>
      <c r="L261" s="2"/>
    </row>
    <row r="262" spans="3:12" ht="15.75" customHeight="1">
      <c r="C262" s="13"/>
      <c r="K262" s="2"/>
      <c r="L262" s="2"/>
    </row>
    <row r="263" spans="3:12" ht="15.75" customHeight="1">
      <c r="C263" s="13"/>
      <c r="K263" s="2"/>
      <c r="L263" s="2"/>
    </row>
    <row r="264" spans="3:12" ht="15.75" customHeight="1">
      <c r="C264" s="13"/>
      <c r="K264" s="2"/>
      <c r="L264" s="2"/>
    </row>
    <row r="265" spans="3:12" ht="15.75" customHeight="1">
      <c r="C265" s="13"/>
      <c r="K265" s="2"/>
      <c r="L265" s="2"/>
    </row>
    <row r="266" spans="3:12" ht="15.75" customHeight="1">
      <c r="C266" s="13"/>
      <c r="K266" s="2"/>
      <c r="L266" s="2"/>
    </row>
    <row r="267" spans="3:12" ht="15.75" customHeight="1">
      <c r="C267" s="13"/>
      <c r="K267" s="2"/>
      <c r="L267" s="2"/>
    </row>
    <row r="268" spans="3:12" ht="15.75" customHeight="1">
      <c r="C268" s="13"/>
      <c r="K268" s="2"/>
      <c r="L268" s="2"/>
    </row>
    <row r="269" spans="3:12" ht="15.75" customHeight="1">
      <c r="C269" s="13"/>
      <c r="K269" s="2"/>
      <c r="L269" s="2"/>
    </row>
    <row r="270" spans="3:12" ht="15.75" customHeight="1">
      <c r="C270" s="13"/>
      <c r="K270" s="2"/>
      <c r="L270" s="2"/>
    </row>
    <row r="271" spans="3:12" ht="15.75" customHeight="1">
      <c r="C271" s="13"/>
      <c r="K271" s="2"/>
      <c r="L271" s="2"/>
    </row>
    <row r="272" spans="3:12" ht="15.75" customHeight="1">
      <c r="C272" s="13"/>
      <c r="K272" s="2"/>
      <c r="L272" s="2"/>
    </row>
    <row r="273" spans="3:12" ht="15.75" customHeight="1">
      <c r="C273" s="13"/>
      <c r="K273" s="2"/>
      <c r="L273" s="2"/>
    </row>
    <row r="274" spans="3:12" ht="15.75" customHeight="1">
      <c r="C274" s="13"/>
      <c r="K274" s="2"/>
      <c r="L274" s="2"/>
    </row>
    <row r="275" spans="3:12" ht="15.75" customHeight="1">
      <c r="C275" s="13"/>
      <c r="K275" s="2"/>
      <c r="L275" s="2"/>
    </row>
    <row r="276" spans="3:12" ht="15.75" customHeight="1">
      <c r="C276" s="13"/>
      <c r="K276" s="2"/>
      <c r="L276" s="2"/>
    </row>
    <row r="277" spans="3:12" ht="15.75" customHeight="1">
      <c r="C277" s="13"/>
      <c r="K277" s="2"/>
      <c r="L277" s="2"/>
    </row>
    <row r="278" spans="3:12" ht="15.75" customHeight="1">
      <c r="C278" s="13"/>
      <c r="K278" s="2"/>
      <c r="L278" s="2"/>
    </row>
    <row r="279" spans="3:12" ht="15.75" customHeight="1">
      <c r="C279" s="13"/>
      <c r="K279" s="2"/>
      <c r="L279" s="2"/>
    </row>
    <row r="280" spans="3:12" ht="15.75" customHeight="1">
      <c r="C280" s="13"/>
      <c r="K280" s="2"/>
      <c r="L280" s="2"/>
    </row>
    <row r="281" spans="3:12" ht="15.75" customHeight="1">
      <c r="C281" s="13"/>
      <c r="K281" s="2"/>
      <c r="L281" s="2"/>
    </row>
    <row r="282" spans="3:12" ht="15.75" customHeight="1">
      <c r="C282" s="13"/>
      <c r="K282" s="2"/>
      <c r="L282" s="2"/>
    </row>
    <row r="283" spans="3:12" ht="15.75" customHeight="1">
      <c r="C283" s="13"/>
      <c r="K283" s="2"/>
      <c r="L283" s="2"/>
    </row>
    <row r="284" spans="3:12" ht="15.75" customHeight="1">
      <c r="C284" s="13"/>
      <c r="K284" s="2"/>
      <c r="L284" s="2"/>
    </row>
    <row r="285" spans="3:12" ht="15.75" customHeight="1">
      <c r="C285" s="13"/>
      <c r="K285" s="2"/>
      <c r="L285" s="2"/>
    </row>
    <row r="286" spans="3:12" ht="15.75" customHeight="1">
      <c r="C286" s="13"/>
      <c r="K286" s="2"/>
      <c r="L286" s="2"/>
    </row>
    <row r="287" spans="3:12" ht="15.75" customHeight="1">
      <c r="C287" s="13"/>
      <c r="K287" s="2"/>
      <c r="L287" s="2"/>
    </row>
    <row r="288" spans="3:12" ht="15.75" customHeight="1">
      <c r="C288" s="13"/>
      <c r="K288" s="2"/>
      <c r="L288" s="2"/>
    </row>
    <row r="289" spans="3:12" ht="15.75" customHeight="1">
      <c r="C289" s="13"/>
      <c r="K289" s="2"/>
      <c r="L289" s="2"/>
    </row>
    <row r="290" spans="3:12" ht="15.75" customHeight="1">
      <c r="C290" s="13"/>
      <c r="K290" s="2"/>
      <c r="L290" s="2"/>
    </row>
    <row r="291" spans="3:12" ht="15.75" customHeight="1">
      <c r="C291" s="13"/>
      <c r="K291" s="2"/>
      <c r="L291" s="2"/>
    </row>
    <row r="292" spans="3:12" ht="15.75" customHeight="1">
      <c r="C292" s="13"/>
      <c r="K292" s="2"/>
      <c r="L292" s="2"/>
    </row>
    <row r="293" spans="3:12" ht="15.75" customHeight="1">
      <c r="C293" s="13"/>
      <c r="K293" s="2"/>
      <c r="L293" s="2"/>
    </row>
    <row r="294" spans="3:12" ht="15.75" customHeight="1">
      <c r="C294" s="13"/>
      <c r="K294" s="2"/>
      <c r="L294" s="2"/>
    </row>
    <row r="295" spans="3:12" ht="15.75" customHeight="1">
      <c r="C295" s="13"/>
      <c r="K295" s="2"/>
      <c r="L295" s="2"/>
    </row>
    <row r="296" spans="3:12" ht="15.75" customHeight="1">
      <c r="C296" s="13"/>
      <c r="K296" s="2"/>
      <c r="L296" s="2"/>
    </row>
    <row r="297" spans="3:12" ht="15.75" customHeight="1">
      <c r="C297" s="13"/>
      <c r="K297" s="2"/>
      <c r="L297" s="2"/>
    </row>
    <row r="298" spans="3:12" ht="15.75" customHeight="1">
      <c r="C298" s="13"/>
      <c r="K298" s="2"/>
      <c r="L298" s="2"/>
    </row>
    <row r="299" spans="3:12" ht="15.75" customHeight="1">
      <c r="C299" s="13"/>
      <c r="K299" s="2"/>
      <c r="L299" s="2"/>
    </row>
    <row r="300" spans="3:12" ht="15.75" customHeight="1">
      <c r="C300" s="13"/>
      <c r="K300" s="2"/>
      <c r="L300" s="2"/>
    </row>
    <row r="301" spans="3:12" ht="15.75" customHeight="1">
      <c r="C301" s="13"/>
      <c r="K301" s="2"/>
      <c r="L301" s="2"/>
    </row>
    <row r="302" spans="3:12" ht="15.75" customHeight="1">
      <c r="C302" s="13"/>
      <c r="K302" s="2"/>
      <c r="L302" s="2"/>
    </row>
    <row r="303" spans="3:12" ht="15.75" customHeight="1">
      <c r="C303" s="13"/>
      <c r="K303" s="2"/>
      <c r="L303" s="2"/>
    </row>
    <row r="304" spans="3:12" ht="15.75" customHeight="1">
      <c r="C304" s="13"/>
      <c r="K304" s="2"/>
      <c r="L304" s="2"/>
    </row>
    <row r="305" spans="3:12" ht="15.75" customHeight="1">
      <c r="C305" s="13"/>
      <c r="K305" s="2"/>
      <c r="L305" s="2"/>
    </row>
    <row r="306" spans="3:12" ht="15.75" customHeight="1">
      <c r="C306" s="13"/>
      <c r="K306" s="2"/>
      <c r="L306" s="2"/>
    </row>
    <row r="307" spans="3:12" ht="15.75" customHeight="1">
      <c r="C307" s="13"/>
      <c r="K307" s="2"/>
      <c r="L307" s="2"/>
    </row>
    <row r="308" spans="3:12" ht="15.75" customHeight="1">
      <c r="C308" s="13"/>
      <c r="K308" s="2"/>
      <c r="L308" s="2"/>
    </row>
    <row r="309" spans="3:12" ht="15.75" customHeight="1">
      <c r="C309" s="13"/>
      <c r="K309" s="2"/>
      <c r="L309" s="2"/>
    </row>
    <row r="310" spans="3:12" ht="15.75" customHeight="1">
      <c r="C310" s="13"/>
      <c r="K310" s="2"/>
      <c r="L310" s="2"/>
    </row>
    <row r="311" spans="3:12" ht="15.75" customHeight="1">
      <c r="C311" s="13"/>
      <c r="K311" s="2"/>
      <c r="L311" s="2"/>
    </row>
    <row r="312" spans="3:12" ht="15.75" customHeight="1">
      <c r="C312" s="13"/>
      <c r="K312" s="2"/>
      <c r="L312" s="2"/>
    </row>
    <row r="313" spans="3:12" ht="15.75" customHeight="1">
      <c r="C313" s="13"/>
      <c r="K313" s="2"/>
      <c r="L313" s="2"/>
    </row>
    <row r="314" spans="3:12" ht="15.75" customHeight="1">
      <c r="C314" s="13"/>
      <c r="K314" s="2"/>
      <c r="L314" s="2"/>
    </row>
    <row r="315" spans="3:12" ht="15.75" customHeight="1">
      <c r="C315" s="13"/>
      <c r="K315" s="2"/>
      <c r="L315" s="2"/>
    </row>
    <row r="316" spans="3:12" ht="15.75" customHeight="1">
      <c r="C316" s="13"/>
      <c r="K316" s="2"/>
      <c r="L316" s="2"/>
    </row>
    <row r="317" spans="3:12" ht="15.75" customHeight="1">
      <c r="C317" s="13"/>
      <c r="K317" s="2"/>
      <c r="L317" s="2"/>
    </row>
    <row r="318" spans="3:12" ht="15.75" customHeight="1">
      <c r="C318" s="13"/>
      <c r="K318" s="2"/>
      <c r="L318" s="2"/>
    </row>
    <row r="319" spans="3:12" ht="15.75" customHeight="1">
      <c r="C319" s="13"/>
      <c r="K319" s="2"/>
      <c r="L319" s="2"/>
    </row>
    <row r="320" spans="3:12" ht="15.75" customHeight="1">
      <c r="C320" s="13"/>
      <c r="K320" s="2"/>
      <c r="L320" s="2"/>
    </row>
    <row r="321" spans="3:12" ht="15.75" customHeight="1">
      <c r="C321" s="13"/>
      <c r="K321" s="2"/>
      <c r="L321" s="2"/>
    </row>
    <row r="322" spans="3:12" ht="15.75" customHeight="1">
      <c r="C322" s="13"/>
      <c r="K322" s="2"/>
      <c r="L322" s="2"/>
    </row>
    <row r="323" spans="3:12" ht="15.75" customHeight="1">
      <c r="C323" s="13"/>
      <c r="K323" s="2"/>
      <c r="L323" s="2"/>
    </row>
    <row r="324" spans="3:12" ht="15.75" customHeight="1">
      <c r="C324" s="13"/>
      <c r="K324" s="2"/>
      <c r="L324" s="2"/>
    </row>
    <row r="325" spans="3:12" ht="15.75" customHeight="1">
      <c r="C325" s="13"/>
      <c r="K325" s="2"/>
      <c r="L325" s="2"/>
    </row>
    <row r="326" spans="3:12" ht="15.75" customHeight="1">
      <c r="C326" s="13"/>
      <c r="K326" s="2"/>
      <c r="L326" s="2"/>
    </row>
    <row r="327" spans="3:12" ht="15.75" customHeight="1">
      <c r="C327" s="13"/>
      <c r="K327" s="2"/>
      <c r="L327" s="2"/>
    </row>
    <row r="328" spans="3:12" ht="15.75" customHeight="1">
      <c r="C328" s="13"/>
      <c r="K328" s="2"/>
      <c r="L328" s="2"/>
    </row>
    <row r="329" spans="3:12" ht="15.75" customHeight="1">
      <c r="C329" s="13"/>
      <c r="K329" s="2"/>
      <c r="L329" s="2"/>
    </row>
    <row r="330" spans="3:12" ht="15.75" customHeight="1">
      <c r="C330" s="13"/>
      <c r="K330" s="2"/>
      <c r="L330" s="2"/>
    </row>
    <row r="331" spans="3:12" ht="15.75" customHeight="1">
      <c r="C331" s="13"/>
      <c r="K331" s="2"/>
      <c r="L331" s="2"/>
    </row>
    <row r="332" spans="3:12" ht="15.75" customHeight="1">
      <c r="C332" s="13"/>
      <c r="K332" s="2"/>
      <c r="L332" s="2"/>
    </row>
    <row r="333" spans="3:12" ht="15.75" customHeight="1">
      <c r="C333" s="13"/>
      <c r="K333" s="2"/>
      <c r="L333" s="2"/>
    </row>
    <row r="334" spans="3:12" ht="15.75" customHeight="1">
      <c r="C334" s="13"/>
      <c r="K334" s="2"/>
      <c r="L334" s="2"/>
    </row>
    <row r="335" spans="3:12" ht="15.75" customHeight="1">
      <c r="C335" s="13"/>
      <c r="K335" s="2"/>
      <c r="L335" s="2"/>
    </row>
    <row r="336" spans="3:12" ht="15.75" customHeight="1">
      <c r="C336" s="13"/>
      <c r="K336" s="2"/>
      <c r="L336" s="2"/>
    </row>
    <row r="337" spans="3:12" ht="15.75" customHeight="1">
      <c r="C337" s="13"/>
      <c r="K337" s="2"/>
      <c r="L337" s="2"/>
    </row>
    <row r="338" spans="3:12" ht="15.75" customHeight="1">
      <c r="C338" s="13"/>
      <c r="K338" s="2"/>
      <c r="L338" s="2"/>
    </row>
    <row r="339" spans="3:12" ht="15.75" customHeight="1">
      <c r="C339" s="13"/>
      <c r="K339" s="2"/>
      <c r="L339" s="2"/>
    </row>
    <row r="340" spans="3:12" ht="15.75" customHeight="1">
      <c r="C340" s="13"/>
      <c r="K340" s="2"/>
      <c r="L340" s="2"/>
    </row>
    <row r="341" spans="3:12" ht="15.75" customHeight="1">
      <c r="C341" s="13"/>
      <c r="K341" s="2"/>
      <c r="L341" s="2"/>
    </row>
    <row r="342" spans="3:12" ht="15.75" customHeight="1">
      <c r="C342" s="13"/>
      <c r="K342" s="2"/>
      <c r="L342" s="2"/>
    </row>
    <row r="343" spans="3:12" ht="15.75" customHeight="1">
      <c r="C343" s="13"/>
      <c r="K343" s="2"/>
      <c r="L343" s="2"/>
    </row>
    <row r="344" spans="3:12" ht="15.75" customHeight="1">
      <c r="C344" s="13"/>
      <c r="K344" s="2"/>
      <c r="L344" s="2"/>
    </row>
    <row r="345" spans="3:12" ht="15.75" customHeight="1">
      <c r="C345" s="13"/>
      <c r="K345" s="2"/>
      <c r="L345" s="2"/>
    </row>
    <row r="346" spans="3:12" ht="15.75" customHeight="1">
      <c r="C346" s="13"/>
      <c r="K346" s="2"/>
      <c r="L346" s="2"/>
    </row>
    <row r="347" spans="3:12" ht="15.75" customHeight="1">
      <c r="C347" s="13"/>
      <c r="K347" s="2"/>
      <c r="L347" s="2"/>
    </row>
    <row r="348" spans="3:12" ht="15.75" customHeight="1">
      <c r="C348" s="13"/>
      <c r="K348" s="2"/>
      <c r="L348" s="2"/>
    </row>
    <row r="349" spans="3:12" ht="15.75" customHeight="1">
      <c r="C349" s="13"/>
      <c r="K349" s="2"/>
      <c r="L349" s="2"/>
    </row>
    <row r="350" spans="3:12" ht="15.75" customHeight="1">
      <c r="C350" s="13"/>
      <c r="K350" s="2"/>
      <c r="L350" s="2"/>
    </row>
    <row r="351" spans="3:12" ht="15.75" customHeight="1">
      <c r="C351" s="13"/>
      <c r="K351" s="2"/>
      <c r="L351" s="2"/>
    </row>
    <row r="352" spans="3:12" ht="15.75" customHeight="1">
      <c r="C352" s="13"/>
      <c r="K352" s="2"/>
      <c r="L352" s="2"/>
    </row>
    <row r="353" spans="3:12" ht="15.75" customHeight="1">
      <c r="C353" s="13"/>
      <c r="K353" s="2"/>
      <c r="L353" s="2"/>
    </row>
    <row r="354" spans="3:12" ht="15.75" customHeight="1">
      <c r="C354" s="13"/>
      <c r="K354" s="2"/>
      <c r="L354" s="2"/>
    </row>
    <row r="355" spans="3:12" ht="15.75" customHeight="1">
      <c r="C355" s="13"/>
      <c r="K355" s="2"/>
      <c r="L355" s="2"/>
    </row>
    <row r="356" spans="3:12" ht="15.75" customHeight="1">
      <c r="C356" s="13"/>
      <c r="K356" s="2"/>
      <c r="L356" s="2"/>
    </row>
    <row r="357" spans="3:12" ht="15.75" customHeight="1">
      <c r="C357" s="13"/>
      <c r="K357" s="2"/>
      <c r="L357" s="2"/>
    </row>
    <row r="358" spans="3:12" ht="15.75" customHeight="1">
      <c r="C358" s="13"/>
      <c r="K358" s="2"/>
      <c r="L358" s="2"/>
    </row>
    <row r="359" spans="3:12" ht="15.75" customHeight="1">
      <c r="C359" s="13"/>
      <c r="K359" s="2"/>
      <c r="L359" s="2"/>
    </row>
    <row r="360" spans="3:12" ht="15.75" customHeight="1">
      <c r="C360" s="13"/>
      <c r="K360" s="2"/>
      <c r="L360" s="2"/>
    </row>
    <row r="361" spans="3:12" ht="15.75" customHeight="1">
      <c r="C361" s="13"/>
      <c r="K361" s="2"/>
      <c r="L361" s="2"/>
    </row>
    <row r="362" spans="3:12" ht="15.75" customHeight="1">
      <c r="C362" s="13"/>
      <c r="K362" s="2"/>
      <c r="L362" s="2"/>
    </row>
    <row r="363" spans="3:12" ht="15.75" customHeight="1">
      <c r="C363" s="13"/>
      <c r="K363" s="2"/>
      <c r="L363" s="2"/>
    </row>
    <row r="364" spans="3:12" ht="15.75" customHeight="1">
      <c r="C364" s="13"/>
      <c r="K364" s="2"/>
      <c r="L364" s="2"/>
    </row>
    <row r="365" spans="3:12" ht="15.75" customHeight="1">
      <c r="C365" s="13"/>
      <c r="K365" s="2"/>
      <c r="L365" s="2"/>
    </row>
    <row r="366" spans="3:12" ht="15.75" customHeight="1">
      <c r="C366" s="13"/>
      <c r="K366" s="2"/>
      <c r="L366" s="2"/>
    </row>
    <row r="367" spans="3:12" ht="15.75" customHeight="1">
      <c r="C367" s="13"/>
      <c r="K367" s="2"/>
      <c r="L367" s="2"/>
    </row>
    <row r="368" spans="3:12" ht="15.75" customHeight="1">
      <c r="C368" s="13"/>
      <c r="K368" s="2"/>
      <c r="L368" s="2"/>
    </row>
    <row r="369" spans="3:12" ht="15.75" customHeight="1">
      <c r="C369" s="13"/>
      <c r="K369" s="2"/>
      <c r="L369" s="2"/>
    </row>
    <row r="370" spans="3:12" ht="15.75" customHeight="1">
      <c r="C370" s="13"/>
      <c r="K370" s="2"/>
      <c r="L370" s="2"/>
    </row>
    <row r="371" spans="3:12" ht="15.75" customHeight="1">
      <c r="C371" s="13"/>
      <c r="K371" s="2"/>
      <c r="L371" s="2"/>
    </row>
    <row r="372" spans="3:12" ht="15.75" customHeight="1">
      <c r="C372" s="13"/>
      <c r="K372" s="2"/>
      <c r="L372" s="2"/>
    </row>
    <row r="373" spans="3:12" ht="15.75" customHeight="1">
      <c r="C373" s="13"/>
      <c r="K373" s="2"/>
      <c r="L373" s="2"/>
    </row>
    <row r="374" spans="3:12" ht="15.75" customHeight="1">
      <c r="C374" s="13"/>
      <c r="K374" s="2"/>
      <c r="L374" s="2"/>
    </row>
    <row r="375" spans="3:12" ht="15.75" customHeight="1">
      <c r="C375" s="13"/>
      <c r="K375" s="2"/>
      <c r="L375" s="2"/>
    </row>
    <row r="376" spans="3:12" ht="15.75" customHeight="1">
      <c r="C376" s="13"/>
      <c r="K376" s="2"/>
      <c r="L376" s="2"/>
    </row>
    <row r="377" spans="3:12" ht="15.75" customHeight="1">
      <c r="C377" s="13"/>
      <c r="K377" s="2"/>
      <c r="L377" s="2"/>
    </row>
    <row r="378" spans="3:12" ht="15.75" customHeight="1">
      <c r="C378" s="13"/>
      <c r="K378" s="2"/>
      <c r="L378" s="2"/>
    </row>
    <row r="379" spans="3:12" ht="15.75" customHeight="1">
      <c r="C379" s="13"/>
      <c r="K379" s="2"/>
      <c r="L379" s="2"/>
    </row>
    <row r="380" spans="3:12" ht="15.75" customHeight="1">
      <c r="C380" s="13"/>
      <c r="K380" s="2"/>
      <c r="L380" s="2"/>
    </row>
    <row r="381" spans="3:12" ht="15.75" customHeight="1">
      <c r="C381" s="13"/>
      <c r="K381" s="2"/>
      <c r="L381" s="2"/>
    </row>
    <row r="382" spans="3:12" ht="15.75" customHeight="1">
      <c r="C382" s="13"/>
      <c r="K382" s="2"/>
      <c r="L382" s="2"/>
    </row>
    <row r="383" spans="3:12" ht="15.75" customHeight="1">
      <c r="C383" s="13"/>
      <c r="K383" s="2"/>
      <c r="L383" s="2"/>
    </row>
    <row r="384" spans="3:12" ht="15.75" customHeight="1">
      <c r="C384" s="13"/>
      <c r="K384" s="2"/>
      <c r="L384" s="2"/>
    </row>
    <row r="385" spans="3:12" ht="15.75" customHeight="1">
      <c r="C385" s="13"/>
      <c r="K385" s="2"/>
      <c r="L385" s="2"/>
    </row>
    <row r="386" spans="3:12" ht="15.75" customHeight="1">
      <c r="C386" s="13"/>
      <c r="K386" s="2"/>
      <c r="L386" s="2"/>
    </row>
    <row r="387" spans="3:12" ht="15.75" customHeight="1">
      <c r="C387" s="13"/>
      <c r="K387" s="2"/>
      <c r="L387" s="2"/>
    </row>
    <row r="388" spans="3:12" ht="15.75" customHeight="1">
      <c r="C388" s="13"/>
      <c r="K388" s="2"/>
      <c r="L388" s="2"/>
    </row>
    <row r="389" spans="3:12" ht="15.75" customHeight="1">
      <c r="C389" s="13"/>
      <c r="K389" s="2"/>
      <c r="L389" s="2"/>
    </row>
    <row r="390" spans="3:12" ht="15.75" customHeight="1">
      <c r="C390" s="13"/>
      <c r="K390" s="2"/>
      <c r="L390" s="2"/>
    </row>
    <row r="391" spans="3:12" ht="15.75" customHeight="1">
      <c r="C391" s="13"/>
      <c r="K391" s="2"/>
      <c r="L391" s="2"/>
    </row>
    <row r="392" spans="3:12" ht="15.75" customHeight="1">
      <c r="C392" s="13"/>
      <c r="K392" s="2"/>
      <c r="L392" s="2"/>
    </row>
    <row r="393" spans="3:12" ht="15.75" customHeight="1">
      <c r="C393" s="13"/>
      <c r="K393" s="2"/>
      <c r="L393" s="2"/>
    </row>
    <row r="394" spans="3:12" ht="15.75" customHeight="1">
      <c r="C394" s="13"/>
      <c r="K394" s="2"/>
      <c r="L394" s="2"/>
    </row>
    <row r="395" spans="3:12" ht="15.75" customHeight="1">
      <c r="C395" s="13"/>
      <c r="K395" s="2"/>
      <c r="L395" s="2"/>
    </row>
    <row r="396" spans="3:12" ht="15.75" customHeight="1">
      <c r="C396" s="13"/>
      <c r="K396" s="2"/>
      <c r="L396" s="2"/>
    </row>
    <row r="397" spans="3:12" ht="15.75" customHeight="1">
      <c r="C397" s="13"/>
      <c r="K397" s="2"/>
      <c r="L397" s="2"/>
    </row>
    <row r="398" spans="3:12" ht="15.75" customHeight="1">
      <c r="C398" s="13"/>
      <c r="K398" s="2"/>
      <c r="L398" s="2"/>
    </row>
    <row r="399" spans="3:12" ht="15.75" customHeight="1">
      <c r="C399" s="13"/>
      <c r="K399" s="2"/>
      <c r="L399" s="2"/>
    </row>
    <row r="400" spans="3:12" ht="15.75" customHeight="1">
      <c r="C400" s="13"/>
      <c r="K400" s="2"/>
      <c r="L400" s="2"/>
    </row>
    <row r="401" spans="3:12" ht="15.75" customHeight="1">
      <c r="C401" s="13"/>
      <c r="K401" s="2"/>
      <c r="L401" s="2"/>
    </row>
    <row r="402" spans="3:12" ht="15.75" customHeight="1">
      <c r="C402" s="13"/>
      <c r="K402" s="2"/>
      <c r="L402" s="2"/>
    </row>
    <row r="403" spans="3:12" ht="15.75" customHeight="1">
      <c r="C403" s="13"/>
      <c r="K403" s="2"/>
      <c r="L403" s="2"/>
    </row>
    <row r="404" spans="3:12" ht="15.75" customHeight="1">
      <c r="C404" s="13"/>
      <c r="K404" s="2"/>
      <c r="L404" s="2"/>
    </row>
    <row r="405" spans="3:12" ht="15.75" customHeight="1">
      <c r="C405" s="13"/>
      <c r="K405" s="2"/>
      <c r="L405" s="2"/>
    </row>
    <row r="406" spans="3:12" ht="15.75" customHeight="1">
      <c r="C406" s="13"/>
      <c r="K406" s="2"/>
      <c r="L406" s="2"/>
    </row>
    <row r="407" spans="3:12" ht="15.75" customHeight="1">
      <c r="C407" s="13"/>
      <c r="K407" s="2"/>
      <c r="L407" s="2"/>
    </row>
    <row r="408" spans="3:12" ht="15.75" customHeight="1">
      <c r="C408" s="13"/>
      <c r="K408" s="2"/>
      <c r="L408" s="2"/>
    </row>
    <row r="409" spans="3:12" ht="15.75" customHeight="1">
      <c r="C409" s="13"/>
      <c r="K409" s="2"/>
      <c r="L409" s="2"/>
    </row>
    <row r="410" spans="3:12" ht="15.75" customHeight="1">
      <c r="C410" s="13"/>
      <c r="K410" s="2"/>
      <c r="L410" s="2"/>
    </row>
    <row r="411" spans="3:12" ht="15.75" customHeight="1">
      <c r="C411" s="13"/>
      <c r="K411" s="2"/>
      <c r="L411" s="2"/>
    </row>
    <row r="412" spans="3:12" ht="15.75" customHeight="1">
      <c r="C412" s="13"/>
      <c r="K412" s="2"/>
      <c r="L412" s="2"/>
    </row>
    <row r="413" spans="3:12" ht="15.75" customHeight="1">
      <c r="C413" s="13"/>
      <c r="K413" s="2"/>
      <c r="L413" s="2"/>
    </row>
    <row r="414" spans="3:12" ht="15.75" customHeight="1">
      <c r="C414" s="13"/>
      <c r="K414" s="2"/>
      <c r="L414" s="2"/>
    </row>
    <row r="415" spans="3:12" ht="15.75" customHeight="1">
      <c r="C415" s="13"/>
      <c r="K415" s="2"/>
      <c r="L415" s="2"/>
    </row>
    <row r="416" spans="3:12" ht="15.75" customHeight="1">
      <c r="C416" s="13"/>
      <c r="K416" s="2"/>
      <c r="L416" s="2"/>
    </row>
    <row r="417" spans="3:12" ht="15.75" customHeight="1">
      <c r="C417" s="13"/>
      <c r="K417" s="2"/>
      <c r="L417" s="2"/>
    </row>
    <row r="418" spans="3:12" ht="15.75" customHeight="1">
      <c r="C418" s="13"/>
      <c r="K418" s="2"/>
      <c r="L418" s="2"/>
    </row>
    <row r="419" spans="3:12" ht="15.75" customHeight="1">
      <c r="C419" s="13"/>
      <c r="K419" s="2"/>
      <c r="L419" s="2"/>
    </row>
    <row r="420" spans="3:12" ht="15.75" customHeight="1">
      <c r="C420" s="13"/>
      <c r="K420" s="2"/>
      <c r="L420" s="2"/>
    </row>
    <row r="421" spans="3:12" ht="15.75" customHeight="1">
      <c r="C421" s="13"/>
      <c r="K421" s="2"/>
      <c r="L421" s="2"/>
    </row>
    <row r="422" spans="3:12" ht="15.75" customHeight="1">
      <c r="C422" s="13"/>
      <c r="K422" s="2"/>
      <c r="L422" s="2"/>
    </row>
    <row r="423" spans="3:12" ht="15.75" customHeight="1">
      <c r="C423" s="13"/>
      <c r="K423" s="2"/>
      <c r="L423" s="2"/>
    </row>
    <row r="424" spans="3:12" ht="15.75" customHeight="1">
      <c r="C424" s="13"/>
      <c r="K424" s="2"/>
      <c r="L424" s="2"/>
    </row>
    <row r="425" spans="3:12" ht="15.75" customHeight="1">
      <c r="C425" s="13"/>
      <c r="K425" s="2"/>
      <c r="L425" s="2"/>
    </row>
    <row r="426" spans="3:12" ht="15.75" customHeight="1">
      <c r="C426" s="13"/>
      <c r="K426" s="2"/>
      <c r="L426" s="2"/>
    </row>
    <row r="427" spans="3:12" ht="15.75" customHeight="1">
      <c r="C427" s="13"/>
      <c r="K427" s="2"/>
      <c r="L427" s="2"/>
    </row>
    <row r="428" spans="3:12" ht="15.75" customHeight="1">
      <c r="C428" s="13"/>
      <c r="K428" s="2"/>
      <c r="L428" s="2"/>
    </row>
    <row r="429" spans="3:12" ht="15.75" customHeight="1">
      <c r="C429" s="13"/>
      <c r="K429" s="2"/>
      <c r="L429" s="2"/>
    </row>
    <row r="430" spans="3:12" ht="15.75" customHeight="1">
      <c r="C430" s="13"/>
      <c r="K430" s="2"/>
      <c r="L430" s="2"/>
    </row>
    <row r="431" spans="3:12" ht="15.75" customHeight="1">
      <c r="C431" s="13"/>
      <c r="K431" s="2"/>
      <c r="L431" s="2"/>
    </row>
    <row r="432" spans="3:12" ht="15.75" customHeight="1">
      <c r="C432" s="13"/>
      <c r="K432" s="2"/>
      <c r="L432" s="2"/>
    </row>
    <row r="433" spans="3:12" ht="15.75" customHeight="1">
      <c r="C433" s="13"/>
      <c r="K433" s="2"/>
      <c r="L433" s="2"/>
    </row>
    <row r="434" spans="3:12" ht="15.75" customHeight="1">
      <c r="C434" s="13"/>
      <c r="K434" s="2"/>
      <c r="L434" s="2"/>
    </row>
    <row r="435" spans="3:12" ht="15.75" customHeight="1">
      <c r="C435" s="13"/>
      <c r="K435" s="2"/>
      <c r="L435" s="2"/>
    </row>
    <row r="436" spans="3:12" ht="15.75" customHeight="1">
      <c r="C436" s="13"/>
      <c r="K436" s="2"/>
      <c r="L436" s="2"/>
    </row>
    <row r="437" spans="3:12" ht="15.75" customHeight="1">
      <c r="C437" s="13"/>
      <c r="K437" s="2"/>
      <c r="L437" s="2"/>
    </row>
    <row r="438" spans="3:12" ht="15.75" customHeight="1">
      <c r="C438" s="13"/>
      <c r="K438" s="2"/>
      <c r="L438" s="2"/>
    </row>
    <row r="439" spans="3:12" ht="15.75" customHeight="1">
      <c r="C439" s="13"/>
      <c r="K439" s="2"/>
      <c r="L439" s="2"/>
    </row>
    <row r="440" spans="3:12" ht="15.75" customHeight="1">
      <c r="C440" s="13"/>
      <c r="K440" s="2"/>
      <c r="L440" s="2"/>
    </row>
    <row r="441" spans="3:12" ht="15.75" customHeight="1">
      <c r="C441" s="13"/>
      <c r="K441" s="2"/>
      <c r="L441" s="2"/>
    </row>
    <row r="442" spans="3:12" ht="15.75" customHeight="1">
      <c r="C442" s="13"/>
      <c r="K442" s="2"/>
      <c r="L442" s="2"/>
    </row>
    <row r="443" spans="3:12" ht="15.75" customHeight="1">
      <c r="C443" s="13"/>
      <c r="K443" s="2"/>
      <c r="L443" s="2"/>
    </row>
    <row r="444" spans="3:12" ht="15.75" customHeight="1">
      <c r="C444" s="13"/>
      <c r="K444" s="2"/>
      <c r="L444" s="2"/>
    </row>
    <row r="445" spans="3:12" ht="15.75" customHeight="1">
      <c r="C445" s="13"/>
      <c r="K445" s="2"/>
      <c r="L445" s="2"/>
    </row>
    <row r="446" spans="3:12" ht="15.75" customHeight="1">
      <c r="C446" s="13"/>
      <c r="K446" s="2"/>
      <c r="L446" s="2"/>
    </row>
    <row r="447" spans="3:12" ht="15.75" customHeight="1">
      <c r="C447" s="13"/>
      <c r="K447" s="2"/>
      <c r="L447" s="2"/>
    </row>
    <row r="448" spans="3:12" ht="15.75" customHeight="1">
      <c r="C448" s="13"/>
      <c r="K448" s="2"/>
      <c r="L448" s="2"/>
    </row>
    <row r="449" spans="3:12" ht="15.75" customHeight="1">
      <c r="C449" s="13"/>
      <c r="K449" s="2"/>
      <c r="L449" s="2"/>
    </row>
    <row r="450" spans="3:12" ht="15.75" customHeight="1">
      <c r="C450" s="13"/>
      <c r="K450" s="2"/>
      <c r="L450" s="2"/>
    </row>
    <row r="451" spans="3:12" ht="15.75" customHeight="1">
      <c r="C451" s="13"/>
      <c r="K451" s="2"/>
      <c r="L451" s="2"/>
    </row>
    <row r="452" spans="3:12" ht="15.75" customHeight="1">
      <c r="C452" s="13"/>
      <c r="K452" s="2"/>
      <c r="L452" s="2"/>
    </row>
    <row r="453" spans="3:12" ht="15.75" customHeight="1">
      <c r="C453" s="13"/>
      <c r="K453" s="2"/>
      <c r="L453" s="2"/>
    </row>
    <row r="454" spans="3:12" ht="15.75" customHeight="1">
      <c r="C454" s="13"/>
      <c r="K454" s="2"/>
      <c r="L454" s="2"/>
    </row>
    <row r="455" spans="3:12" ht="15.75" customHeight="1">
      <c r="C455" s="13"/>
      <c r="K455" s="2"/>
      <c r="L455" s="2"/>
    </row>
    <row r="456" spans="3:12" ht="15.75" customHeight="1">
      <c r="C456" s="13"/>
      <c r="K456" s="2"/>
      <c r="L456" s="2"/>
    </row>
    <row r="457" spans="3:12" ht="15.75" customHeight="1">
      <c r="C457" s="13"/>
      <c r="K457" s="2"/>
      <c r="L457" s="2"/>
    </row>
    <row r="458" spans="3:12" ht="15.75" customHeight="1">
      <c r="C458" s="13"/>
      <c r="K458" s="2"/>
      <c r="L458" s="2"/>
    </row>
    <row r="459" spans="3:12" ht="15.75" customHeight="1">
      <c r="C459" s="13"/>
      <c r="K459" s="2"/>
      <c r="L459" s="2"/>
    </row>
    <row r="460" spans="3:12" ht="15.75" customHeight="1">
      <c r="C460" s="13"/>
      <c r="K460" s="2"/>
      <c r="L460" s="2"/>
    </row>
    <row r="461" spans="3:12" ht="15.75" customHeight="1">
      <c r="C461" s="13"/>
      <c r="K461" s="2"/>
      <c r="L461" s="2"/>
    </row>
    <row r="462" spans="3:12" ht="15.75" customHeight="1">
      <c r="C462" s="13"/>
      <c r="K462" s="2"/>
      <c r="L462" s="2"/>
    </row>
    <row r="463" spans="3:12" ht="15.75" customHeight="1">
      <c r="C463" s="13"/>
      <c r="K463" s="2"/>
      <c r="L463" s="2"/>
    </row>
    <row r="464" spans="3:12" ht="15.75" customHeight="1">
      <c r="C464" s="13"/>
      <c r="K464" s="2"/>
      <c r="L464" s="2"/>
    </row>
    <row r="465" spans="3:12" ht="15.75" customHeight="1">
      <c r="C465" s="13"/>
      <c r="K465" s="2"/>
      <c r="L465" s="2"/>
    </row>
    <row r="466" spans="3:12" ht="15.75" customHeight="1">
      <c r="C466" s="13"/>
      <c r="K466" s="2"/>
      <c r="L466" s="2"/>
    </row>
    <row r="467" spans="3:12" ht="15.75" customHeight="1">
      <c r="C467" s="13"/>
      <c r="K467" s="2"/>
      <c r="L467" s="2"/>
    </row>
    <row r="468" spans="3:12" ht="15.75" customHeight="1">
      <c r="C468" s="13"/>
      <c r="K468" s="2"/>
      <c r="L468" s="2"/>
    </row>
    <row r="469" spans="3:12" ht="15.75" customHeight="1">
      <c r="C469" s="13"/>
      <c r="K469" s="2"/>
      <c r="L469" s="2"/>
    </row>
    <row r="470" spans="3:12" ht="15.75" customHeight="1">
      <c r="C470" s="13"/>
      <c r="K470" s="2"/>
      <c r="L470" s="2"/>
    </row>
    <row r="471" spans="3:12" ht="15.75" customHeight="1">
      <c r="C471" s="13"/>
      <c r="K471" s="2"/>
      <c r="L471" s="2"/>
    </row>
    <row r="472" spans="3:12" ht="15.75" customHeight="1">
      <c r="C472" s="13"/>
      <c r="K472" s="2"/>
      <c r="L472" s="2"/>
    </row>
    <row r="473" spans="3:12" ht="15.75" customHeight="1">
      <c r="C473" s="13"/>
      <c r="K473" s="2"/>
      <c r="L473" s="2"/>
    </row>
    <row r="474" spans="3:12" ht="15.75" customHeight="1">
      <c r="C474" s="13"/>
      <c r="K474" s="2"/>
      <c r="L474" s="2"/>
    </row>
    <row r="475" spans="3:12" ht="15.75" customHeight="1">
      <c r="C475" s="13"/>
      <c r="K475" s="2"/>
      <c r="L475" s="2"/>
    </row>
    <row r="476" spans="3:12" ht="15.75" customHeight="1">
      <c r="C476" s="13"/>
      <c r="K476" s="2"/>
      <c r="L476" s="2"/>
    </row>
    <row r="477" spans="3:12" ht="15.75" customHeight="1">
      <c r="C477" s="13"/>
      <c r="K477" s="2"/>
      <c r="L477" s="2"/>
    </row>
    <row r="478" spans="3:12" ht="15.75" customHeight="1">
      <c r="C478" s="13"/>
      <c r="K478" s="2"/>
      <c r="L478" s="2"/>
    </row>
    <row r="479" spans="3:12" ht="15.75" customHeight="1">
      <c r="C479" s="13"/>
      <c r="K479" s="2"/>
      <c r="L479" s="2"/>
    </row>
    <row r="480" spans="3:12" ht="15.75" customHeight="1">
      <c r="C480" s="13"/>
      <c r="K480" s="2"/>
      <c r="L480" s="2"/>
    </row>
    <row r="481" spans="3:12" ht="15.75" customHeight="1">
      <c r="C481" s="13"/>
      <c r="K481" s="2"/>
      <c r="L481" s="2"/>
    </row>
    <row r="482" spans="3:12" ht="15.75" customHeight="1">
      <c r="C482" s="13"/>
      <c r="K482" s="2"/>
      <c r="L482" s="2"/>
    </row>
    <row r="483" spans="3:12" ht="15.75" customHeight="1">
      <c r="C483" s="13"/>
      <c r="K483" s="2"/>
      <c r="L483" s="2"/>
    </row>
    <row r="484" spans="3:12" ht="15.75" customHeight="1">
      <c r="C484" s="13"/>
      <c r="K484" s="2"/>
      <c r="L484" s="2"/>
    </row>
    <row r="485" spans="3:12" ht="15.75" customHeight="1">
      <c r="C485" s="13"/>
      <c r="K485" s="2"/>
      <c r="L485" s="2"/>
    </row>
    <row r="486" spans="3:12" ht="15.75" customHeight="1">
      <c r="C486" s="13"/>
      <c r="K486" s="2"/>
      <c r="L486" s="2"/>
    </row>
    <row r="487" spans="3:12" ht="15.75" customHeight="1">
      <c r="C487" s="13"/>
      <c r="K487" s="2"/>
      <c r="L487" s="2"/>
    </row>
    <row r="488" spans="3:12" ht="15.75" customHeight="1">
      <c r="C488" s="13"/>
      <c r="K488" s="2"/>
      <c r="L488" s="2"/>
    </row>
    <row r="489" spans="3:12" ht="15.75" customHeight="1">
      <c r="C489" s="13"/>
      <c r="K489" s="2"/>
      <c r="L489" s="2"/>
    </row>
    <row r="490" spans="3:12" ht="15.75" customHeight="1">
      <c r="C490" s="13"/>
      <c r="K490" s="2"/>
      <c r="L490" s="2"/>
    </row>
    <row r="491" spans="3:12" ht="15.75" customHeight="1">
      <c r="C491" s="13"/>
      <c r="K491" s="2"/>
      <c r="L491" s="2"/>
    </row>
    <row r="492" spans="3:12" ht="15.75" customHeight="1">
      <c r="C492" s="13"/>
      <c r="K492" s="2"/>
      <c r="L492" s="2"/>
    </row>
    <row r="493" spans="3:12" ht="15.75" customHeight="1">
      <c r="C493" s="13"/>
      <c r="K493" s="2"/>
      <c r="L493" s="2"/>
    </row>
    <row r="494" spans="3:12" ht="15.75" customHeight="1">
      <c r="C494" s="13"/>
      <c r="K494" s="2"/>
      <c r="L494" s="2"/>
    </row>
    <row r="495" spans="3:12" ht="15.75" customHeight="1">
      <c r="C495" s="13"/>
      <c r="K495" s="2"/>
      <c r="L495" s="2"/>
    </row>
    <row r="496" spans="3:12" ht="15.75" customHeight="1">
      <c r="C496" s="13"/>
      <c r="K496" s="2"/>
      <c r="L496" s="2"/>
    </row>
    <row r="497" spans="3:12" ht="15.75" customHeight="1">
      <c r="C497" s="13"/>
      <c r="K497" s="2"/>
      <c r="L497" s="2"/>
    </row>
    <row r="498" spans="3:12" ht="15.75" customHeight="1">
      <c r="C498" s="13"/>
      <c r="K498" s="2"/>
      <c r="L498" s="2"/>
    </row>
    <row r="499" spans="3:12" ht="15.75" customHeight="1">
      <c r="C499" s="13"/>
      <c r="K499" s="2"/>
      <c r="L499" s="2"/>
    </row>
    <row r="500" spans="3:12" ht="15.75" customHeight="1">
      <c r="C500" s="13"/>
      <c r="K500" s="2"/>
      <c r="L500" s="2"/>
    </row>
    <row r="501" spans="3:12" ht="15.75" customHeight="1">
      <c r="C501" s="13"/>
      <c r="K501" s="2"/>
      <c r="L501" s="2"/>
    </row>
    <row r="502" spans="3:12" ht="15.75" customHeight="1">
      <c r="C502" s="13"/>
      <c r="K502" s="2"/>
      <c r="L502" s="2"/>
    </row>
    <row r="503" spans="3:12" ht="15.75" customHeight="1">
      <c r="C503" s="13"/>
      <c r="K503" s="2"/>
      <c r="L503" s="2"/>
    </row>
    <row r="504" spans="3:12" ht="15.75" customHeight="1">
      <c r="C504" s="13"/>
      <c r="K504" s="2"/>
      <c r="L504" s="2"/>
    </row>
    <row r="505" spans="3:12" ht="15.75" customHeight="1">
      <c r="C505" s="13"/>
      <c r="K505" s="2"/>
      <c r="L505" s="2"/>
    </row>
    <row r="506" spans="3:12" ht="15.75" customHeight="1">
      <c r="C506" s="13"/>
      <c r="K506" s="2"/>
      <c r="L506" s="2"/>
    </row>
    <row r="507" spans="3:12" ht="15.75" customHeight="1">
      <c r="C507" s="13"/>
      <c r="K507" s="2"/>
      <c r="L507" s="2"/>
    </row>
    <row r="508" spans="3:12" ht="15.75" customHeight="1">
      <c r="C508" s="13"/>
      <c r="K508" s="2"/>
      <c r="L508" s="2"/>
    </row>
    <row r="509" spans="3:12" ht="15.75" customHeight="1">
      <c r="C509" s="13"/>
      <c r="K509" s="2"/>
      <c r="L509" s="2"/>
    </row>
    <row r="510" spans="3:12" ht="15.75" customHeight="1">
      <c r="C510" s="13"/>
      <c r="K510" s="2"/>
      <c r="L510" s="2"/>
    </row>
    <row r="511" spans="3:12" ht="15.75" customHeight="1">
      <c r="C511" s="13"/>
      <c r="K511" s="2"/>
      <c r="L511" s="2"/>
    </row>
    <row r="512" spans="3:12" ht="15.75" customHeight="1">
      <c r="C512" s="13"/>
      <c r="K512" s="2"/>
      <c r="L512" s="2"/>
    </row>
    <row r="513" spans="3:12" ht="15.75" customHeight="1">
      <c r="C513" s="13"/>
      <c r="K513" s="2"/>
      <c r="L513" s="2"/>
    </row>
    <row r="514" spans="3:12" ht="15.75" customHeight="1">
      <c r="C514" s="13"/>
      <c r="K514" s="2"/>
      <c r="L514" s="2"/>
    </row>
    <row r="515" spans="3:12" ht="15.75" customHeight="1">
      <c r="C515" s="13"/>
      <c r="K515" s="2"/>
      <c r="L515" s="2"/>
    </row>
    <row r="516" spans="3:12" ht="15.75" customHeight="1">
      <c r="C516" s="13"/>
      <c r="K516" s="2"/>
      <c r="L516" s="2"/>
    </row>
    <row r="517" spans="3:12" ht="15.75" customHeight="1">
      <c r="C517" s="13"/>
      <c r="K517" s="2"/>
      <c r="L517" s="2"/>
    </row>
    <row r="518" spans="3:12" ht="15.75" customHeight="1">
      <c r="C518" s="13"/>
      <c r="K518" s="2"/>
      <c r="L518" s="2"/>
    </row>
    <row r="519" spans="3:12" ht="15.75" customHeight="1">
      <c r="C519" s="13"/>
      <c r="K519" s="2"/>
      <c r="L519" s="2"/>
    </row>
    <row r="520" spans="3:12" ht="15.75" customHeight="1">
      <c r="C520" s="13"/>
      <c r="K520" s="2"/>
      <c r="L520" s="2"/>
    </row>
    <row r="521" spans="3:12" ht="15.75" customHeight="1">
      <c r="C521" s="13"/>
      <c r="K521" s="2"/>
      <c r="L521" s="2"/>
    </row>
    <row r="522" spans="3:12" ht="15.75" customHeight="1">
      <c r="C522" s="13"/>
      <c r="K522" s="2"/>
      <c r="L522" s="2"/>
    </row>
    <row r="523" spans="3:12" ht="15.75" customHeight="1">
      <c r="C523" s="13"/>
      <c r="K523" s="2"/>
      <c r="L523" s="2"/>
    </row>
    <row r="524" spans="3:12" ht="15.75" customHeight="1">
      <c r="C524" s="13"/>
      <c r="K524" s="2"/>
      <c r="L524" s="2"/>
    </row>
    <row r="525" spans="3:12" ht="15.75" customHeight="1">
      <c r="C525" s="13"/>
      <c r="K525" s="2"/>
      <c r="L525" s="2"/>
    </row>
    <row r="526" spans="3:12" ht="15.75" customHeight="1">
      <c r="C526" s="13"/>
      <c r="K526" s="2"/>
      <c r="L526" s="2"/>
    </row>
    <row r="527" spans="3:12" ht="15.75" customHeight="1">
      <c r="C527" s="13"/>
      <c r="K527" s="2"/>
      <c r="L527" s="2"/>
    </row>
    <row r="528" spans="3:12" ht="15.75" customHeight="1">
      <c r="C528" s="13"/>
      <c r="K528" s="2"/>
      <c r="L528" s="2"/>
    </row>
    <row r="529" spans="3:12" ht="15.75" customHeight="1">
      <c r="C529" s="13"/>
      <c r="K529" s="2"/>
      <c r="L529" s="2"/>
    </row>
    <row r="530" spans="3:12" ht="15.75" customHeight="1">
      <c r="C530" s="13"/>
      <c r="K530" s="2"/>
      <c r="L530" s="2"/>
    </row>
    <row r="531" spans="3:12" ht="15.75" customHeight="1">
      <c r="C531" s="13"/>
      <c r="K531" s="2"/>
      <c r="L531" s="2"/>
    </row>
    <row r="532" spans="3:12" ht="15.75" customHeight="1">
      <c r="C532" s="13"/>
      <c r="K532" s="2"/>
      <c r="L532" s="2"/>
    </row>
    <row r="533" spans="3:12" ht="15.75" customHeight="1">
      <c r="C533" s="13"/>
      <c r="K533" s="2"/>
      <c r="L533" s="2"/>
    </row>
    <row r="534" spans="3:12" ht="15.75" customHeight="1">
      <c r="C534" s="13"/>
      <c r="K534" s="2"/>
      <c r="L534" s="2"/>
    </row>
    <row r="535" spans="3:12" ht="15.75" customHeight="1">
      <c r="C535" s="13"/>
      <c r="K535" s="2"/>
      <c r="L535" s="2"/>
    </row>
    <row r="536" spans="3:12" ht="15.75" customHeight="1">
      <c r="C536" s="13"/>
      <c r="K536" s="2"/>
      <c r="L536" s="2"/>
    </row>
    <row r="537" spans="3:12" ht="15.75" customHeight="1">
      <c r="C537" s="13"/>
      <c r="K537" s="2"/>
      <c r="L537" s="2"/>
    </row>
    <row r="538" spans="3:12" ht="15.75" customHeight="1">
      <c r="C538" s="13"/>
      <c r="K538" s="2"/>
      <c r="L538" s="2"/>
    </row>
    <row r="539" spans="3:12" ht="15.75" customHeight="1">
      <c r="C539" s="13"/>
      <c r="K539" s="2"/>
      <c r="L539" s="2"/>
    </row>
    <row r="540" spans="3:12" ht="15.75" customHeight="1">
      <c r="C540" s="13"/>
      <c r="K540" s="2"/>
      <c r="L540" s="2"/>
    </row>
    <row r="541" spans="3:12" ht="15.75" customHeight="1">
      <c r="C541" s="13"/>
      <c r="K541" s="2"/>
      <c r="L541" s="2"/>
    </row>
    <row r="542" spans="3:12" ht="15.75" customHeight="1">
      <c r="C542" s="13"/>
      <c r="K542" s="2"/>
      <c r="L542" s="2"/>
    </row>
    <row r="543" spans="3:12" ht="15.75" customHeight="1">
      <c r="C543" s="13"/>
      <c r="K543" s="2"/>
      <c r="L543" s="2"/>
    </row>
    <row r="544" spans="3:12" ht="15.75" customHeight="1">
      <c r="C544" s="13"/>
      <c r="K544" s="2"/>
      <c r="L544" s="2"/>
    </row>
    <row r="545" spans="3:12" ht="15.75" customHeight="1">
      <c r="C545" s="13"/>
      <c r="K545" s="2"/>
      <c r="L545" s="2"/>
    </row>
    <row r="546" spans="3:12" ht="15.75" customHeight="1">
      <c r="C546" s="13"/>
      <c r="K546" s="2"/>
      <c r="L546" s="2"/>
    </row>
    <row r="547" spans="3:12" ht="15.75" customHeight="1">
      <c r="C547" s="13"/>
      <c r="K547" s="2"/>
      <c r="L547" s="2"/>
    </row>
    <row r="548" spans="3:12" ht="15.75" customHeight="1">
      <c r="C548" s="13"/>
      <c r="K548" s="2"/>
      <c r="L548" s="2"/>
    </row>
    <row r="549" spans="3:12" ht="15.75" customHeight="1">
      <c r="C549" s="13"/>
      <c r="K549" s="2"/>
      <c r="L549" s="2"/>
    </row>
    <row r="550" spans="3:12" ht="15.75" customHeight="1">
      <c r="C550" s="13"/>
      <c r="K550" s="2"/>
      <c r="L550" s="2"/>
    </row>
    <row r="551" spans="3:12" ht="15.75" customHeight="1">
      <c r="C551" s="13"/>
      <c r="K551" s="2"/>
      <c r="L551" s="2"/>
    </row>
    <row r="552" spans="3:12" ht="15.75" customHeight="1">
      <c r="C552" s="13"/>
      <c r="K552" s="2"/>
      <c r="L552" s="2"/>
    </row>
    <row r="553" spans="3:12" ht="15.75" customHeight="1">
      <c r="C553" s="13"/>
      <c r="K553" s="2"/>
      <c r="L553" s="2"/>
    </row>
    <row r="554" spans="3:12" ht="15.75" customHeight="1">
      <c r="C554" s="13"/>
      <c r="K554" s="2"/>
      <c r="L554" s="2"/>
    </row>
    <row r="555" spans="3:12" ht="15.75" customHeight="1">
      <c r="C555" s="13"/>
      <c r="K555" s="2"/>
      <c r="L555" s="2"/>
    </row>
    <row r="556" spans="3:12" ht="15.75" customHeight="1">
      <c r="C556" s="13"/>
      <c r="K556" s="2"/>
      <c r="L556" s="2"/>
    </row>
    <row r="557" spans="3:12" ht="15.75" customHeight="1">
      <c r="C557" s="13"/>
      <c r="K557" s="2"/>
      <c r="L557" s="2"/>
    </row>
    <row r="558" spans="3:12" ht="15.75" customHeight="1">
      <c r="C558" s="13"/>
      <c r="K558" s="2"/>
      <c r="L558" s="2"/>
    </row>
    <row r="559" spans="3:12" ht="15.75" customHeight="1">
      <c r="C559" s="13"/>
      <c r="K559" s="2"/>
      <c r="L559" s="2"/>
    </row>
    <row r="560" spans="3:12" ht="15.75" customHeight="1">
      <c r="C560" s="13"/>
      <c r="K560" s="2"/>
      <c r="L560" s="2"/>
    </row>
    <row r="561" spans="3:12" ht="15.75" customHeight="1">
      <c r="C561" s="13"/>
      <c r="K561" s="2"/>
      <c r="L561" s="2"/>
    </row>
    <row r="562" spans="3:12" ht="15.75" customHeight="1">
      <c r="C562" s="13"/>
      <c r="K562" s="2"/>
      <c r="L562" s="2"/>
    </row>
    <row r="563" spans="3:12" ht="15.75" customHeight="1">
      <c r="C563" s="13"/>
      <c r="K563" s="2"/>
      <c r="L563" s="2"/>
    </row>
    <row r="564" spans="3:12" ht="15.75" customHeight="1">
      <c r="C564" s="13"/>
      <c r="K564" s="2"/>
      <c r="L564" s="2"/>
    </row>
    <row r="565" spans="3:12" ht="15.75" customHeight="1">
      <c r="C565" s="13"/>
      <c r="K565" s="2"/>
      <c r="L565" s="2"/>
    </row>
    <row r="566" spans="3:12" ht="15.75" customHeight="1">
      <c r="C566" s="13"/>
      <c r="K566" s="2"/>
      <c r="L566" s="2"/>
    </row>
    <row r="567" spans="3:12" ht="15.75" customHeight="1">
      <c r="C567" s="13"/>
      <c r="K567" s="2"/>
      <c r="L567" s="2"/>
    </row>
    <row r="568" spans="3:12" ht="15.75" customHeight="1">
      <c r="C568" s="13"/>
      <c r="K568" s="2"/>
      <c r="L568" s="2"/>
    </row>
    <row r="569" spans="3:12" ht="15.75" customHeight="1">
      <c r="C569" s="13"/>
      <c r="K569" s="2"/>
      <c r="L569" s="2"/>
    </row>
    <row r="570" spans="3:12" ht="15.75" customHeight="1">
      <c r="C570" s="13"/>
      <c r="K570" s="2"/>
      <c r="L570" s="2"/>
    </row>
    <row r="571" spans="3:12" ht="15.75" customHeight="1">
      <c r="C571" s="13"/>
      <c r="K571" s="2"/>
      <c r="L571" s="2"/>
    </row>
    <row r="572" spans="3:12" ht="15.75" customHeight="1">
      <c r="C572" s="13"/>
      <c r="K572" s="2"/>
      <c r="L572" s="2"/>
    </row>
    <row r="573" spans="3:12" ht="15.75" customHeight="1">
      <c r="C573" s="13"/>
      <c r="K573" s="2"/>
      <c r="L573" s="2"/>
    </row>
    <row r="574" spans="3:12" ht="15.75" customHeight="1">
      <c r="C574" s="13"/>
      <c r="K574" s="2"/>
      <c r="L574" s="2"/>
    </row>
    <row r="575" spans="3:12" ht="15.75" customHeight="1">
      <c r="C575" s="13"/>
      <c r="K575" s="2"/>
      <c r="L575" s="2"/>
    </row>
    <row r="576" spans="3:12" ht="15.75" customHeight="1">
      <c r="C576" s="13"/>
      <c r="K576" s="2"/>
      <c r="L576" s="2"/>
    </row>
    <row r="577" spans="3:12" ht="15.75" customHeight="1">
      <c r="C577" s="13"/>
      <c r="K577" s="2"/>
      <c r="L577" s="2"/>
    </row>
    <row r="578" spans="3:12" ht="15.75" customHeight="1">
      <c r="C578" s="13"/>
      <c r="K578" s="2"/>
      <c r="L578" s="2"/>
    </row>
    <row r="579" spans="3:12" ht="15.75" customHeight="1">
      <c r="C579" s="13"/>
      <c r="K579" s="2"/>
      <c r="L579" s="2"/>
    </row>
    <row r="580" spans="3:12" ht="15.75" customHeight="1">
      <c r="C580" s="13"/>
      <c r="K580" s="2"/>
      <c r="L580" s="2"/>
    </row>
    <row r="581" spans="3:12" ht="15.75" customHeight="1">
      <c r="C581" s="13"/>
      <c r="K581" s="2"/>
      <c r="L581" s="2"/>
    </row>
    <row r="582" spans="3:12" ht="15.75" customHeight="1">
      <c r="C582" s="13"/>
      <c r="K582" s="2"/>
      <c r="L582" s="2"/>
    </row>
    <row r="583" spans="3:12" ht="15.75" customHeight="1">
      <c r="C583" s="13"/>
      <c r="K583" s="2"/>
      <c r="L583" s="2"/>
    </row>
    <row r="584" spans="3:12" ht="15.75" customHeight="1">
      <c r="C584" s="13"/>
      <c r="K584" s="2"/>
      <c r="L584" s="2"/>
    </row>
    <row r="585" spans="3:12" ht="15.75" customHeight="1">
      <c r="C585" s="13"/>
      <c r="K585" s="2"/>
      <c r="L585" s="2"/>
    </row>
    <row r="586" spans="3:12" ht="15.75" customHeight="1">
      <c r="C586" s="13"/>
      <c r="K586" s="2"/>
      <c r="L586" s="2"/>
    </row>
    <row r="587" spans="3:12" ht="15.75" customHeight="1">
      <c r="C587" s="13"/>
      <c r="K587" s="2"/>
      <c r="L587" s="2"/>
    </row>
    <row r="588" spans="3:12" ht="15.75" customHeight="1">
      <c r="C588" s="13"/>
      <c r="K588" s="2"/>
      <c r="L588" s="2"/>
    </row>
    <row r="589" spans="3:12" ht="15.75" customHeight="1">
      <c r="C589" s="13"/>
      <c r="K589" s="2"/>
      <c r="L589" s="2"/>
    </row>
    <row r="590" spans="3:12" ht="15.75" customHeight="1">
      <c r="C590" s="13"/>
      <c r="K590" s="2"/>
      <c r="L590" s="2"/>
    </row>
    <row r="591" spans="3:12" ht="15.75" customHeight="1">
      <c r="C591" s="13"/>
      <c r="K591" s="2"/>
      <c r="L591" s="2"/>
    </row>
    <row r="592" spans="3:12" ht="15.75" customHeight="1">
      <c r="C592" s="13"/>
      <c r="K592" s="2"/>
      <c r="L592" s="2"/>
    </row>
    <row r="593" spans="3:12" ht="15.75" customHeight="1">
      <c r="C593" s="13"/>
      <c r="K593" s="2"/>
      <c r="L593" s="2"/>
    </row>
    <row r="594" spans="3:12" ht="15.75" customHeight="1">
      <c r="C594" s="13"/>
      <c r="K594" s="2"/>
      <c r="L594" s="2"/>
    </row>
    <row r="595" spans="3:12" ht="15.75" customHeight="1">
      <c r="C595" s="13"/>
      <c r="K595" s="2"/>
      <c r="L595" s="2"/>
    </row>
    <row r="596" spans="3:12" ht="15.75" customHeight="1">
      <c r="C596" s="13"/>
      <c r="K596" s="2"/>
      <c r="L596" s="2"/>
    </row>
    <row r="597" spans="3:12" ht="15.75" customHeight="1">
      <c r="C597" s="13"/>
      <c r="K597" s="2"/>
      <c r="L597" s="2"/>
    </row>
    <row r="598" spans="3:12" ht="15.75" customHeight="1">
      <c r="C598" s="13"/>
      <c r="K598" s="2"/>
      <c r="L598" s="2"/>
    </row>
    <row r="599" spans="3:12" ht="15.75" customHeight="1">
      <c r="C599" s="13"/>
      <c r="K599" s="2"/>
      <c r="L599" s="2"/>
    </row>
    <row r="600" spans="3:12" ht="15.75" customHeight="1">
      <c r="C600" s="13"/>
      <c r="K600" s="2"/>
      <c r="L600" s="2"/>
    </row>
    <row r="601" spans="3:12" ht="15.75" customHeight="1">
      <c r="C601" s="13"/>
      <c r="K601" s="2"/>
      <c r="L601" s="2"/>
    </row>
    <row r="602" spans="3:12" ht="15.75" customHeight="1">
      <c r="C602" s="13"/>
      <c r="K602" s="2"/>
      <c r="L602" s="2"/>
    </row>
    <row r="603" spans="3:12" ht="15.75" customHeight="1">
      <c r="C603" s="13"/>
      <c r="K603" s="2"/>
      <c r="L603" s="2"/>
    </row>
    <row r="604" spans="3:12" ht="15.75" customHeight="1">
      <c r="C604" s="13"/>
      <c r="K604" s="2"/>
      <c r="L604" s="2"/>
    </row>
    <row r="605" spans="3:12" ht="15.75" customHeight="1">
      <c r="C605" s="13"/>
      <c r="K605" s="2"/>
      <c r="L605" s="2"/>
    </row>
    <row r="606" spans="3:12" ht="15.75" customHeight="1">
      <c r="C606" s="13"/>
      <c r="K606" s="2"/>
      <c r="L606" s="2"/>
    </row>
    <row r="607" spans="3:12" ht="15.75" customHeight="1">
      <c r="C607" s="13"/>
      <c r="K607" s="2"/>
      <c r="L607" s="2"/>
    </row>
    <row r="608" spans="3:12" ht="15.75" customHeight="1">
      <c r="C608" s="13"/>
      <c r="K608" s="2"/>
      <c r="L608" s="2"/>
    </row>
    <row r="609" spans="3:12" ht="15.75" customHeight="1">
      <c r="C609" s="13"/>
      <c r="K609" s="2"/>
      <c r="L609" s="2"/>
    </row>
    <row r="610" spans="3:12" ht="15.75" customHeight="1">
      <c r="C610" s="13"/>
      <c r="K610" s="2"/>
      <c r="L610" s="2"/>
    </row>
    <row r="611" spans="3:12" ht="15.75" customHeight="1">
      <c r="C611" s="13"/>
      <c r="K611" s="2"/>
      <c r="L611" s="2"/>
    </row>
    <row r="612" spans="3:12" ht="15.75" customHeight="1">
      <c r="C612" s="13"/>
      <c r="K612" s="2"/>
      <c r="L612" s="2"/>
    </row>
    <row r="613" spans="3:12" ht="15.75" customHeight="1">
      <c r="C613" s="13"/>
      <c r="K613" s="2"/>
      <c r="L613" s="2"/>
    </row>
    <row r="614" spans="3:12" ht="15.75" customHeight="1">
      <c r="C614" s="13"/>
      <c r="K614" s="2"/>
      <c r="L614" s="2"/>
    </row>
    <row r="615" spans="3:12" ht="15.75" customHeight="1">
      <c r="C615" s="13"/>
      <c r="K615" s="2"/>
      <c r="L615" s="2"/>
    </row>
    <row r="616" spans="3:12" ht="15.75" customHeight="1">
      <c r="C616" s="13"/>
      <c r="K616" s="2"/>
      <c r="L616" s="2"/>
    </row>
    <row r="617" spans="3:12" ht="15.75" customHeight="1">
      <c r="C617" s="13"/>
      <c r="K617" s="2"/>
      <c r="L617" s="2"/>
    </row>
    <row r="618" spans="3:12" ht="15.75" customHeight="1">
      <c r="C618" s="13"/>
      <c r="K618" s="2"/>
      <c r="L618" s="2"/>
    </row>
    <row r="619" spans="3:12" ht="15.75" customHeight="1">
      <c r="C619" s="13"/>
      <c r="K619" s="2"/>
      <c r="L619" s="2"/>
    </row>
    <row r="620" spans="3:12" ht="15.75" customHeight="1">
      <c r="C620" s="13"/>
      <c r="K620" s="2"/>
      <c r="L620" s="2"/>
    </row>
    <row r="621" spans="3:12" ht="15.75" customHeight="1">
      <c r="C621" s="13"/>
      <c r="K621" s="2"/>
      <c r="L621" s="2"/>
    </row>
    <row r="622" spans="3:12" ht="15.75" customHeight="1">
      <c r="C622" s="13"/>
      <c r="K622" s="2"/>
      <c r="L622" s="2"/>
    </row>
    <row r="623" spans="3:12" ht="15.75" customHeight="1">
      <c r="C623" s="13"/>
      <c r="K623" s="2"/>
      <c r="L623" s="2"/>
    </row>
    <row r="624" spans="3:12" ht="15.75" customHeight="1">
      <c r="C624" s="13"/>
      <c r="K624" s="2"/>
      <c r="L624" s="2"/>
    </row>
    <row r="625" spans="3:12" ht="15.75" customHeight="1">
      <c r="C625" s="13"/>
      <c r="K625" s="2"/>
      <c r="L625" s="2"/>
    </row>
    <row r="626" spans="3:12" ht="15.75" customHeight="1">
      <c r="C626" s="13"/>
      <c r="K626" s="2"/>
      <c r="L626" s="2"/>
    </row>
    <row r="627" spans="3:12" ht="15.75" customHeight="1">
      <c r="C627" s="13"/>
      <c r="K627" s="2"/>
      <c r="L627" s="2"/>
    </row>
    <row r="628" spans="3:12" ht="15.75" customHeight="1">
      <c r="C628" s="13"/>
      <c r="K628" s="2"/>
      <c r="L628" s="2"/>
    </row>
    <row r="629" spans="3:12" ht="15.75" customHeight="1">
      <c r="C629" s="13"/>
      <c r="K629" s="2"/>
      <c r="L629" s="2"/>
    </row>
    <row r="630" spans="3:12" ht="15.75" customHeight="1">
      <c r="C630" s="13"/>
      <c r="K630" s="2"/>
      <c r="L630" s="2"/>
    </row>
    <row r="631" spans="3:12" ht="15.75" customHeight="1">
      <c r="C631" s="13"/>
      <c r="K631" s="2"/>
      <c r="L631" s="2"/>
    </row>
    <row r="632" spans="3:12" ht="15.75" customHeight="1">
      <c r="C632" s="13"/>
      <c r="K632" s="2"/>
      <c r="L632" s="2"/>
    </row>
    <row r="633" spans="3:12" ht="15.75" customHeight="1">
      <c r="C633" s="13"/>
      <c r="K633" s="2"/>
      <c r="L633" s="2"/>
    </row>
    <row r="634" spans="3:12" ht="15.75" customHeight="1">
      <c r="C634" s="13"/>
      <c r="K634" s="2"/>
      <c r="L634" s="2"/>
    </row>
    <row r="635" spans="3:12" ht="15.75" customHeight="1">
      <c r="C635" s="13"/>
      <c r="K635" s="2"/>
      <c r="L635" s="2"/>
    </row>
    <row r="636" spans="3:12" ht="15.75" customHeight="1">
      <c r="C636" s="13"/>
      <c r="K636" s="2"/>
      <c r="L636" s="2"/>
    </row>
    <row r="637" spans="3:12" ht="15.75" customHeight="1">
      <c r="C637" s="13"/>
      <c r="K637" s="2"/>
      <c r="L637" s="2"/>
    </row>
    <row r="638" spans="3:12" ht="15.75" customHeight="1">
      <c r="C638" s="13"/>
      <c r="K638" s="2"/>
      <c r="L638" s="2"/>
    </row>
    <row r="639" spans="3:12" ht="15.75" customHeight="1">
      <c r="C639" s="13"/>
      <c r="K639" s="2"/>
      <c r="L639" s="2"/>
    </row>
    <row r="640" spans="3:12" ht="15.75" customHeight="1">
      <c r="C640" s="13"/>
      <c r="K640" s="2"/>
      <c r="L640" s="2"/>
    </row>
    <row r="641" spans="3:12" ht="15.75" customHeight="1">
      <c r="C641" s="13"/>
      <c r="K641" s="2"/>
      <c r="L641" s="2"/>
    </row>
    <row r="642" spans="3:12" ht="15.75" customHeight="1">
      <c r="C642" s="13"/>
      <c r="K642" s="2"/>
      <c r="L642" s="2"/>
    </row>
    <row r="643" spans="3:12" ht="15.75" customHeight="1">
      <c r="C643" s="13"/>
      <c r="K643" s="2"/>
      <c r="L643" s="2"/>
    </row>
    <row r="644" spans="3:12" ht="15.75" customHeight="1">
      <c r="C644" s="13"/>
      <c r="K644" s="2"/>
      <c r="L644" s="2"/>
    </row>
    <row r="645" spans="3:12" ht="15.75" customHeight="1">
      <c r="C645" s="13"/>
      <c r="K645" s="2"/>
      <c r="L645" s="2"/>
    </row>
    <row r="646" spans="3:12" ht="15.75" customHeight="1">
      <c r="C646" s="13"/>
      <c r="K646" s="2"/>
      <c r="L646" s="2"/>
    </row>
    <row r="647" spans="3:12" ht="15.75" customHeight="1">
      <c r="C647" s="13"/>
      <c r="K647" s="2"/>
      <c r="L647" s="2"/>
    </row>
    <row r="648" spans="3:12" ht="15.75" customHeight="1">
      <c r="C648" s="13"/>
      <c r="K648" s="2"/>
      <c r="L648" s="2"/>
    </row>
    <row r="649" spans="3:12" ht="15.75" customHeight="1">
      <c r="C649" s="13"/>
      <c r="K649" s="2"/>
      <c r="L649" s="2"/>
    </row>
    <row r="650" spans="3:12" ht="15.75" customHeight="1">
      <c r="C650" s="13"/>
      <c r="K650" s="2"/>
      <c r="L650" s="2"/>
    </row>
    <row r="651" spans="3:12" ht="15.75" customHeight="1">
      <c r="C651" s="13"/>
      <c r="K651" s="2"/>
      <c r="L651" s="2"/>
    </row>
    <row r="652" spans="3:12" ht="15.75" customHeight="1">
      <c r="C652" s="13"/>
      <c r="K652" s="2"/>
      <c r="L652" s="2"/>
    </row>
    <row r="653" spans="3:12" ht="15.75" customHeight="1">
      <c r="C653" s="13"/>
      <c r="K653" s="2"/>
      <c r="L653" s="2"/>
    </row>
    <row r="654" spans="3:12" ht="15.75" customHeight="1">
      <c r="C654" s="13"/>
      <c r="K654" s="2"/>
      <c r="L654" s="2"/>
    </row>
    <row r="655" spans="3:12" ht="15.75" customHeight="1">
      <c r="C655" s="13"/>
      <c r="K655" s="2"/>
      <c r="L655" s="2"/>
    </row>
    <row r="656" spans="3:12" ht="15.75" customHeight="1">
      <c r="C656" s="13"/>
      <c r="K656" s="2"/>
      <c r="L656" s="2"/>
    </row>
    <row r="657" spans="3:12" ht="15.75" customHeight="1">
      <c r="C657" s="13"/>
      <c r="K657" s="2"/>
      <c r="L657" s="2"/>
    </row>
    <row r="658" spans="3:12" ht="15.75" customHeight="1">
      <c r="C658" s="13"/>
      <c r="K658" s="2"/>
      <c r="L658" s="2"/>
    </row>
    <row r="659" spans="3:12" ht="15.75" customHeight="1">
      <c r="C659" s="13"/>
      <c r="K659" s="2"/>
      <c r="L659" s="2"/>
    </row>
    <row r="660" spans="3:12" ht="15.75" customHeight="1">
      <c r="C660" s="13"/>
      <c r="K660" s="2"/>
      <c r="L660" s="2"/>
    </row>
    <row r="661" spans="3:12" ht="15.75" customHeight="1">
      <c r="C661" s="13"/>
      <c r="K661" s="2"/>
      <c r="L661" s="2"/>
    </row>
    <row r="662" spans="3:12" ht="15.75" customHeight="1">
      <c r="C662" s="13"/>
      <c r="K662" s="2"/>
      <c r="L662" s="2"/>
    </row>
    <row r="663" spans="3:12" ht="15.75" customHeight="1">
      <c r="C663" s="13"/>
      <c r="K663" s="2"/>
      <c r="L663" s="2"/>
    </row>
    <row r="664" spans="3:12" ht="15.75" customHeight="1">
      <c r="C664" s="13"/>
      <c r="K664" s="2"/>
      <c r="L664" s="2"/>
    </row>
    <row r="665" spans="3:12" ht="15.75" customHeight="1">
      <c r="C665" s="13"/>
      <c r="K665" s="2"/>
      <c r="L665" s="2"/>
    </row>
    <row r="666" spans="3:12" ht="15.75" customHeight="1">
      <c r="C666" s="13"/>
      <c r="K666" s="2"/>
      <c r="L666" s="2"/>
    </row>
    <row r="667" spans="3:12" ht="15.75" customHeight="1">
      <c r="C667" s="13"/>
      <c r="K667" s="2"/>
      <c r="L667" s="2"/>
    </row>
    <row r="668" spans="3:12" ht="15.75" customHeight="1">
      <c r="C668" s="13"/>
      <c r="K668" s="2"/>
      <c r="L668" s="2"/>
    </row>
    <row r="669" spans="3:12" ht="15.75" customHeight="1">
      <c r="C669" s="13"/>
      <c r="K669" s="2"/>
      <c r="L669" s="2"/>
    </row>
    <row r="670" spans="3:12" ht="15.75" customHeight="1">
      <c r="C670" s="13"/>
      <c r="K670" s="2"/>
      <c r="L670" s="2"/>
    </row>
    <row r="671" spans="3:12" ht="15.75" customHeight="1">
      <c r="C671" s="13"/>
      <c r="K671" s="2"/>
      <c r="L671" s="2"/>
    </row>
    <row r="672" spans="3:12" ht="15.75" customHeight="1">
      <c r="C672" s="13"/>
      <c r="K672" s="2"/>
      <c r="L672" s="2"/>
    </row>
    <row r="673" spans="3:12" ht="15.75" customHeight="1">
      <c r="C673" s="13"/>
      <c r="K673" s="2"/>
      <c r="L673" s="2"/>
    </row>
    <row r="674" spans="3:12" ht="15.75" customHeight="1">
      <c r="C674" s="13"/>
      <c r="K674" s="2"/>
      <c r="L674" s="2"/>
    </row>
    <row r="675" spans="3:12" ht="15.75" customHeight="1">
      <c r="C675" s="13"/>
      <c r="K675" s="2"/>
      <c r="L675" s="2"/>
    </row>
    <row r="676" spans="3:12" ht="15.75" customHeight="1">
      <c r="C676" s="13"/>
      <c r="K676" s="2"/>
      <c r="L676" s="2"/>
    </row>
    <row r="677" spans="3:12" ht="15.75" customHeight="1">
      <c r="C677" s="13"/>
      <c r="K677" s="2"/>
      <c r="L677" s="2"/>
    </row>
    <row r="678" spans="3:12" ht="15.75" customHeight="1">
      <c r="C678" s="13"/>
      <c r="K678" s="2"/>
      <c r="L678" s="2"/>
    </row>
    <row r="679" spans="3:12" ht="15.75" customHeight="1">
      <c r="C679" s="13"/>
      <c r="K679" s="2"/>
      <c r="L679" s="2"/>
    </row>
    <row r="680" spans="3:12" ht="15.75" customHeight="1">
      <c r="C680" s="13"/>
      <c r="K680" s="2"/>
      <c r="L680" s="2"/>
    </row>
    <row r="681" spans="3:12" ht="15.75" customHeight="1">
      <c r="C681" s="13"/>
      <c r="K681" s="2"/>
      <c r="L681" s="2"/>
    </row>
    <row r="682" spans="3:12" ht="15.75" customHeight="1">
      <c r="C682" s="13"/>
      <c r="K682" s="2"/>
      <c r="L682" s="2"/>
    </row>
    <row r="683" spans="3:12" ht="15.75" customHeight="1">
      <c r="C683" s="13"/>
      <c r="K683" s="2"/>
      <c r="L683" s="2"/>
    </row>
    <row r="684" spans="3:12" ht="15.75" customHeight="1">
      <c r="C684" s="13"/>
      <c r="K684" s="2"/>
      <c r="L684" s="2"/>
    </row>
    <row r="685" spans="3:12" ht="15.75" customHeight="1">
      <c r="C685" s="13"/>
      <c r="K685" s="2"/>
      <c r="L685" s="2"/>
    </row>
    <row r="686" spans="3:12" ht="15.75" customHeight="1">
      <c r="C686" s="13"/>
      <c r="K686" s="2"/>
      <c r="L686" s="2"/>
    </row>
    <row r="687" spans="3:12" ht="15.75" customHeight="1">
      <c r="C687" s="13"/>
      <c r="K687" s="2"/>
      <c r="L687" s="2"/>
    </row>
    <row r="688" spans="3:12" ht="15.75" customHeight="1">
      <c r="C688" s="13"/>
      <c r="K688" s="2"/>
      <c r="L688" s="2"/>
    </row>
    <row r="689" spans="3:12" ht="15.75" customHeight="1">
      <c r="C689" s="13"/>
      <c r="K689" s="2"/>
      <c r="L689" s="2"/>
    </row>
    <row r="690" spans="3:12" ht="15.75" customHeight="1">
      <c r="C690" s="13"/>
      <c r="K690" s="2"/>
      <c r="L690" s="2"/>
    </row>
    <row r="691" spans="3:12" ht="15.75" customHeight="1">
      <c r="C691" s="13"/>
      <c r="K691" s="2"/>
      <c r="L691" s="2"/>
    </row>
    <row r="692" spans="3:12" ht="15.75" customHeight="1">
      <c r="C692" s="13"/>
      <c r="K692" s="2"/>
      <c r="L692" s="2"/>
    </row>
    <row r="693" spans="3:12" ht="15.75" customHeight="1">
      <c r="C693" s="13"/>
      <c r="K693" s="2"/>
      <c r="L693" s="2"/>
    </row>
    <row r="694" spans="3:12" ht="15.75" customHeight="1">
      <c r="C694" s="13"/>
      <c r="K694" s="2"/>
      <c r="L694" s="2"/>
    </row>
    <row r="695" spans="3:12" ht="15.75" customHeight="1">
      <c r="C695" s="13"/>
      <c r="K695" s="2"/>
      <c r="L695" s="2"/>
    </row>
    <row r="696" spans="3:12" ht="15.75" customHeight="1">
      <c r="C696" s="13"/>
      <c r="K696" s="2"/>
      <c r="L696" s="2"/>
    </row>
    <row r="697" spans="3:12" ht="15.75" customHeight="1">
      <c r="C697" s="13"/>
      <c r="K697" s="2"/>
      <c r="L697" s="2"/>
    </row>
    <row r="698" spans="3:12" ht="15.75" customHeight="1">
      <c r="C698" s="13"/>
      <c r="K698" s="2"/>
      <c r="L698" s="2"/>
    </row>
    <row r="699" spans="3:12" ht="15.75" customHeight="1">
      <c r="C699" s="13"/>
      <c r="K699" s="2"/>
      <c r="L699" s="2"/>
    </row>
    <row r="700" spans="3:12" ht="15.75" customHeight="1">
      <c r="C700" s="13"/>
      <c r="K700" s="2"/>
      <c r="L700" s="2"/>
    </row>
    <row r="701" spans="3:12" ht="15.75" customHeight="1">
      <c r="C701" s="13"/>
      <c r="K701" s="2"/>
      <c r="L701" s="2"/>
    </row>
    <row r="702" spans="3:12" ht="15.75" customHeight="1">
      <c r="C702" s="13"/>
      <c r="K702" s="2"/>
      <c r="L702" s="2"/>
    </row>
    <row r="703" spans="3:12" ht="15.75" customHeight="1">
      <c r="C703" s="13"/>
      <c r="K703" s="2"/>
      <c r="L703" s="2"/>
    </row>
    <row r="704" spans="3:12" ht="15.75" customHeight="1">
      <c r="C704" s="13"/>
      <c r="K704" s="2"/>
      <c r="L704" s="2"/>
    </row>
    <row r="705" spans="3:12" ht="15.75" customHeight="1">
      <c r="C705" s="13"/>
      <c r="K705" s="2"/>
      <c r="L705" s="2"/>
    </row>
    <row r="706" spans="3:12" ht="15.75" customHeight="1">
      <c r="C706" s="13"/>
      <c r="K706" s="2"/>
      <c r="L706" s="2"/>
    </row>
    <row r="707" spans="3:12" ht="15.75" customHeight="1">
      <c r="C707" s="13"/>
      <c r="K707" s="2"/>
      <c r="L707" s="2"/>
    </row>
    <row r="708" spans="3:12" ht="15.75" customHeight="1">
      <c r="C708" s="13"/>
      <c r="K708" s="2"/>
      <c r="L708" s="2"/>
    </row>
    <row r="709" spans="3:12" ht="15.75" customHeight="1">
      <c r="C709" s="13"/>
      <c r="K709" s="2"/>
      <c r="L709" s="2"/>
    </row>
    <row r="710" spans="3:12" ht="15.75" customHeight="1">
      <c r="C710" s="13"/>
      <c r="K710" s="2"/>
      <c r="L710" s="2"/>
    </row>
    <row r="711" spans="3:12" ht="15.75" customHeight="1">
      <c r="C711" s="13"/>
      <c r="K711" s="2"/>
      <c r="L711" s="2"/>
    </row>
    <row r="712" spans="3:12" ht="15.75" customHeight="1">
      <c r="C712" s="13"/>
      <c r="K712" s="2"/>
      <c r="L712" s="2"/>
    </row>
    <row r="713" spans="3:12" ht="15.75" customHeight="1">
      <c r="C713" s="13"/>
      <c r="K713" s="2"/>
      <c r="L713" s="2"/>
    </row>
    <row r="714" spans="3:12" ht="15.75" customHeight="1">
      <c r="C714" s="13"/>
      <c r="K714" s="2"/>
      <c r="L714" s="2"/>
    </row>
    <row r="715" spans="3:12" ht="15.75" customHeight="1">
      <c r="C715" s="13"/>
      <c r="K715" s="2"/>
      <c r="L715" s="2"/>
    </row>
    <row r="716" spans="3:12" ht="15.75" customHeight="1">
      <c r="C716" s="13"/>
      <c r="K716" s="2"/>
      <c r="L716" s="2"/>
    </row>
    <row r="717" spans="3:12" ht="15.75" customHeight="1">
      <c r="C717" s="13"/>
      <c r="K717" s="2"/>
      <c r="L717" s="2"/>
    </row>
    <row r="718" spans="3:12" ht="15.75" customHeight="1">
      <c r="C718" s="13"/>
      <c r="K718" s="2"/>
      <c r="L718" s="2"/>
    </row>
    <row r="719" spans="3:12" ht="15.75" customHeight="1">
      <c r="C719" s="13"/>
      <c r="K719" s="2"/>
      <c r="L719" s="2"/>
    </row>
    <row r="720" spans="3:12" ht="15.75" customHeight="1">
      <c r="C720" s="13"/>
      <c r="K720" s="2"/>
      <c r="L720" s="2"/>
    </row>
    <row r="721" spans="3:12" ht="15.75" customHeight="1">
      <c r="C721" s="13"/>
      <c r="K721" s="2"/>
      <c r="L721" s="2"/>
    </row>
    <row r="722" spans="3:12" ht="15.75" customHeight="1">
      <c r="C722" s="13"/>
      <c r="K722" s="2"/>
      <c r="L722" s="2"/>
    </row>
    <row r="723" spans="3:12" ht="15.75" customHeight="1">
      <c r="C723" s="13"/>
      <c r="K723" s="2"/>
      <c r="L723" s="2"/>
    </row>
    <row r="724" spans="3:12" ht="15.75" customHeight="1">
      <c r="C724" s="13"/>
      <c r="K724" s="2"/>
      <c r="L724" s="2"/>
    </row>
    <row r="725" spans="3:12" ht="15.75" customHeight="1">
      <c r="C725" s="13"/>
      <c r="K725" s="2"/>
      <c r="L725" s="2"/>
    </row>
    <row r="726" spans="3:12" ht="15.75" customHeight="1">
      <c r="C726" s="13"/>
      <c r="K726" s="2"/>
      <c r="L726" s="2"/>
    </row>
    <row r="727" spans="3:12" ht="15.75" customHeight="1">
      <c r="C727" s="13"/>
      <c r="K727" s="2"/>
      <c r="L727" s="2"/>
    </row>
    <row r="728" spans="3:12" ht="15.75" customHeight="1">
      <c r="C728" s="13"/>
      <c r="K728" s="2"/>
      <c r="L728" s="2"/>
    </row>
    <row r="729" spans="3:12" ht="15.75" customHeight="1">
      <c r="C729" s="13"/>
      <c r="K729" s="2"/>
      <c r="L729" s="2"/>
    </row>
    <row r="730" spans="3:12" ht="15.75" customHeight="1">
      <c r="C730" s="13"/>
      <c r="K730" s="2"/>
      <c r="L730" s="2"/>
    </row>
    <row r="731" spans="3:12" ht="15.75" customHeight="1">
      <c r="C731" s="13"/>
      <c r="K731" s="2"/>
      <c r="L731" s="2"/>
    </row>
    <row r="732" spans="3:12" ht="15.75" customHeight="1">
      <c r="C732" s="13"/>
      <c r="K732" s="2"/>
      <c r="L732" s="2"/>
    </row>
    <row r="733" spans="3:12" ht="15.75" customHeight="1">
      <c r="C733" s="13"/>
      <c r="K733" s="2"/>
      <c r="L733" s="2"/>
    </row>
    <row r="734" spans="3:12" ht="15.75" customHeight="1">
      <c r="C734" s="13"/>
      <c r="K734" s="2"/>
      <c r="L734" s="2"/>
    </row>
    <row r="735" spans="3:12" ht="15.75" customHeight="1">
      <c r="C735" s="13"/>
      <c r="K735" s="2"/>
      <c r="L735" s="2"/>
    </row>
    <row r="736" spans="3:12" ht="15.75" customHeight="1">
      <c r="C736" s="13"/>
      <c r="K736" s="2"/>
      <c r="L736" s="2"/>
    </row>
    <row r="737" spans="3:12" ht="15.75" customHeight="1">
      <c r="C737" s="13"/>
      <c r="K737" s="2"/>
      <c r="L737" s="2"/>
    </row>
    <row r="738" spans="3:12" ht="15.75" customHeight="1">
      <c r="C738" s="13"/>
      <c r="K738" s="2"/>
      <c r="L738" s="2"/>
    </row>
    <row r="739" spans="3:12" ht="15.75" customHeight="1">
      <c r="C739" s="13"/>
      <c r="K739" s="2"/>
      <c r="L739" s="2"/>
    </row>
    <row r="740" spans="3:12" ht="15.75" customHeight="1">
      <c r="C740" s="13"/>
      <c r="K740" s="2"/>
      <c r="L740" s="2"/>
    </row>
    <row r="741" spans="3:12" ht="15.75" customHeight="1">
      <c r="C741" s="13"/>
      <c r="K741" s="2"/>
      <c r="L741" s="2"/>
    </row>
    <row r="742" spans="3:12" ht="15.75" customHeight="1">
      <c r="C742" s="13"/>
      <c r="K742" s="2"/>
      <c r="L742" s="2"/>
    </row>
    <row r="743" spans="3:12" ht="15.75" customHeight="1">
      <c r="C743" s="13"/>
      <c r="K743" s="2"/>
      <c r="L743" s="2"/>
    </row>
    <row r="744" spans="3:12" ht="15.75" customHeight="1">
      <c r="C744" s="13"/>
      <c r="K744" s="2"/>
      <c r="L744" s="2"/>
    </row>
    <row r="745" spans="3:12" ht="15.75" customHeight="1">
      <c r="C745" s="13"/>
      <c r="K745" s="2"/>
      <c r="L745" s="2"/>
    </row>
    <row r="746" spans="3:12" ht="15.75" customHeight="1">
      <c r="C746" s="13"/>
      <c r="K746" s="2"/>
      <c r="L746" s="2"/>
    </row>
    <row r="747" spans="3:12" ht="15.75" customHeight="1">
      <c r="C747" s="13"/>
      <c r="K747" s="2"/>
      <c r="L747" s="2"/>
    </row>
    <row r="748" spans="3:12" ht="15.75" customHeight="1">
      <c r="C748" s="13"/>
      <c r="K748" s="2"/>
      <c r="L748" s="2"/>
    </row>
    <row r="749" spans="3:12" ht="15.75" customHeight="1">
      <c r="C749" s="13"/>
      <c r="K749" s="2"/>
      <c r="L749" s="2"/>
    </row>
    <row r="750" spans="3:12" ht="15.75" customHeight="1">
      <c r="C750" s="13"/>
      <c r="K750" s="2"/>
      <c r="L750" s="2"/>
    </row>
    <row r="751" spans="3:12" ht="15.75" customHeight="1">
      <c r="C751" s="13"/>
      <c r="K751" s="2"/>
      <c r="L751" s="2"/>
    </row>
    <row r="752" spans="3:12" ht="15.75" customHeight="1">
      <c r="C752" s="13"/>
      <c r="K752" s="2"/>
      <c r="L752" s="2"/>
    </row>
    <row r="753" spans="3:12" ht="15.75" customHeight="1">
      <c r="C753" s="13"/>
      <c r="K753" s="2"/>
      <c r="L753" s="2"/>
    </row>
    <row r="754" spans="3:12" ht="15.75" customHeight="1">
      <c r="C754" s="13"/>
      <c r="K754" s="2"/>
      <c r="L754" s="2"/>
    </row>
    <row r="755" spans="3:12" ht="15.75" customHeight="1">
      <c r="C755" s="13"/>
      <c r="K755" s="2"/>
      <c r="L755" s="2"/>
    </row>
    <row r="756" spans="3:12" ht="15.75" customHeight="1">
      <c r="C756" s="13"/>
      <c r="K756" s="2"/>
      <c r="L756" s="2"/>
    </row>
    <row r="757" spans="3:12" ht="15.75" customHeight="1">
      <c r="C757" s="13"/>
      <c r="K757" s="2"/>
      <c r="L757" s="2"/>
    </row>
    <row r="758" spans="3:12" ht="15.75" customHeight="1">
      <c r="C758" s="13"/>
      <c r="K758" s="2"/>
      <c r="L758" s="2"/>
    </row>
    <row r="759" spans="3:12" ht="15.75" customHeight="1">
      <c r="C759" s="13"/>
      <c r="K759" s="2"/>
      <c r="L759" s="2"/>
    </row>
    <row r="760" spans="3:12" ht="15.75" customHeight="1">
      <c r="C760" s="13"/>
      <c r="K760" s="2"/>
      <c r="L760" s="2"/>
    </row>
    <row r="761" spans="3:12" ht="15.75" customHeight="1">
      <c r="C761" s="13"/>
      <c r="K761" s="2"/>
      <c r="L761" s="2"/>
    </row>
    <row r="762" spans="3:12" ht="15.75" customHeight="1">
      <c r="C762" s="13"/>
      <c r="K762" s="2"/>
      <c r="L762" s="2"/>
    </row>
    <row r="763" spans="3:12" ht="15.75" customHeight="1">
      <c r="C763" s="13"/>
      <c r="K763" s="2"/>
      <c r="L763" s="2"/>
    </row>
    <row r="764" spans="3:12" ht="15.75" customHeight="1">
      <c r="C764" s="13"/>
      <c r="K764" s="2"/>
      <c r="L764" s="2"/>
    </row>
    <row r="765" spans="3:12" ht="15.75" customHeight="1">
      <c r="C765" s="13"/>
      <c r="K765" s="2"/>
      <c r="L765" s="2"/>
    </row>
    <row r="766" spans="3:12" ht="15.75" customHeight="1">
      <c r="C766" s="13"/>
      <c r="K766" s="2"/>
      <c r="L766" s="2"/>
    </row>
    <row r="767" spans="3:12" ht="15.75" customHeight="1">
      <c r="C767" s="13"/>
      <c r="K767" s="2"/>
      <c r="L767" s="2"/>
    </row>
    <row r="768" spans="3:12" ht="15.75" customHeight="1">
      <c r="C768" s="13"/>
      <c r="K768" s="2"/>
      <c r="L768" s="2"/>
    </row>
    <row r="769" spans="3:3" ht="14.4">
      <c r="C769" s="13"/>
    </row>
    <row r="770" spans="3:3" ht="14.4">
      <c r="C770" s="13"/>
    </row>
  </sheetData>
  <mergeCells count="6">
    <mergeCell ref="C75:N75"/>
    <mergeCell ref="F2:G5"/>
    <mergeCell ref="P4:R4"/>
    <mergeCell ref="P6:R6"/>
    <mergeCell ref="C7:N7"/>
    <mergeCell ref="C43:N43"/>
  </mergeCells>
  <phoneticPr fontId="18" type="noConversion"/>
  <hyperlinks>
    <hyperlink ref="N9" r:id="rId1"/>
    <hyperlink ref="N11" r:id="rId2"/>
    <hyperlink ref="N13" r:id="rId3"/>
    <hyperlink ref="N15" r:id="rId4"/>
    <hyperlink ref="N17" r:id="rId5"/>
    <hyperlink ref="N19" r:id="rId6"/>
    <hyperlink ref="N21" r:id="rId7"/>
    <hyperlink ref="N23" r:id="rId8"/>
    <hyperlink ref="N25" r:id="rId9"/>
    <hyperlink ref="N27" r:id="rId10"/>
    <hyperlink ref="N29" r:id="rId11"/>
    <hyperlink ref="N10" r:id="rId12"/>
    <hyperlink ref="N12" r:id="rId13"/>
    <hyperlink ref="N14" r:id="rId14"/>
    <hyperlink ref="N16" r:id="rId15"/>
    <hyperlink ref="N18" r:id="rId16"/>
    <hyperlink ref="N20" r:id="rId17"/>
    <hyperlink ref="N22" r:id="rId18"/>
    <hyperlink ref="N24" r:id="rId19"/>
    <hyperlink ref="N26" r:id="rId20"/>
    <hyperlink ref="N28" r:id="rId21"/>
  </hyperlinks>
  <pageMargins left="0.7" right="0.7" top="0.75" bottom="0.75" header="0" footer="0"/>
  <pageSetup orientation="landscape"/>
  <drawing r:id="rId2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R769"/>
  <sheetViews>
    <sheetView topLeftCell="B108" workbookViewId="0">
      <selection activeCell="E133" sqref="E133"/>
    </sheetView>
  </sheetViews>
  <sheetFormatPr baseColWidth="10" defaultColWidth="14.44140625" defaultRowHeight="15" customHeight="1"/>
  <cols>
    <col min="1" max="2" width="3.109375" customWidth="1"/>
    <col min="3" max="3" width="31.88671875" customWidth="1"/>
    <col min="4" max="5" width="4.88671875" customWidth="1"/>
    <col min="6" max="6" width="23.88671875" customWidth="1"/>
    <col min="7" max="7" width="10.6640625" customWidth="1"/>
    <col min="8" max="8" width="84.88671875" customWidth="1"/>
    <col min="9" max="9" width="15.44140625" customWidth="1"/>
    <col min="10" max="10" width="17.88671875" customWidth="1"/>
    <col min="11" max="11" width="20" customWidth="1"/>
    <col min="12" max="12" width="13.88671875" customWidth="1"/>
    <col min="13" max="13" width="18" customWidth="1"/>
    <col min="14" max="14" width="89.33203125" bestFit="1" customWidth="1"/>
    <col min="15" max="15" width="10.6640625" customWidth="1"/>
    <col min="16" max="16" width="11.88671875" bestFit="1" customWidth="1"/>
    <col min="17" max="17" width="22.44140625" customWidth="1"/>
    <col min="18" max="18" width="17.88671875" customWidth="1"/>
    <col min="19" max="26" width="10.6640625" customWidth="1"/>
  </cols>
  <sheetData>
    <row r="1" spans="3:18" ht="14.4">
      <c r="C1" s="13"/>
      <c r="G1" s="1"/>
      <c r="K1" s="2"/>
      <c r="L1" s="2"/>
    </row>
    <row r="2" spans="3:18" ht="14.4">
      <c r="C2" s="13"/>
      <c r="F2" s="167"/>
      <c r="G2" s="168"/>
      <c r="K2" s="2"/>
      <c r="L2" s="2"/>
    </row>
    <row r="3" spans="3:18" ht="14.4">
      <c r="C3" s="13"/>
      <c r="F3" s="169"/>
      <c r="G3" s="170"/>
      <c r="K3" s="2"/>
      <c r="L3" s="2"/>
    </row>
    <row r="4" spans="3:18" ht="14.4">
      <c r="C4" s="13"/>
      <c r="F4" s="169"/>
      <c r="G4" s="170"/>
      <c r="K4" s="2"/>
      <c r="L4" s="2"/>
      <c r="P4" s="173" t="s">
        <v>15</v>
      </c>
      <c r="Q4" s="165"/>
      <c r="R4" s="166"/>
    </row>
    <row r="5" spans="3:18" ht="14.4">
      <c r="C5" s="13"/>
      <c r="F5" s="171"/>
      <c r="G5" s="172"/>
      <c r="K5" s="2"/>
      <c r="L5" s="2"/>
    </row>
    <row r="6" spans="3:18" ht="15.6">
      <c r="C6" s="13"/>
      <c r="G6" s="1"/>
      <c r="K6" s="2"/>
      <c r="L6" s="2"/>
      <c r="P6" s="161" t="s">
        <v>27</v>
      </c>
      <c r="Q6" s="162"/>
      <c r="R6" s="163"/>
    </row>
    <row r="7" spans="3:18" ht="21">
      <c r="C7" s="164" t="s">
        <v>323</v>
      </c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6"/>
      <c r="P7" s="4" t="s">
        <v>1</v>
      </c>
      <c r="Q7" s="4" t="s">
        <v>2</v>
      </c>
      <c r="R7" s="4" t="s">
        <v>3</v>
      </c>
    </row>
    <row r="8" spans="3:18" ht="15.6">
      <c r="C8" s="14" t="s">
        <v>16</v>
      </c>
      <c r="D8" s="15" t="s">
        <v>17</v>
      </c>
      <c r="E8" s="16" t="s">
        <v>18</v>
      </c>
      <c r="F8" s="17" t="s">
        <v>19</v>
      </c>
      <c r="G8" s="17" t="s">
        <v>20</v>
      </c>
      <c r="H8" s="17" t="s">
        <v>21</v>
      </c>
      <c r="I8" s="17" t="s">
        <v>22</v>
      </c>
      <c r="J8" s="17" t="s">
        <v>2</v>
      </c>
      <c r="K8" s="18" t="s">
        <v>23</v>
      </c>
      <c r="L8" s="18" t="s">
        <v>24</v>
      </c>
      <c r="M8" s="17" t="s">
        <v>25</v>
      </c>
      <c r="N8" s="17" t="s">
        <v>26</v>
      </c>
      <c r="P8" s="6" t="s">
        <v>34</v>
      </c>
      <c r="Q8" s="7"/>
      <c r="R8" s="8"/>
    </row>
    <row r="9" spans="3:18" ht="14.4">
      <c r="C9" s="19">
        <v>46023</v>
      </c>
      <c r="D9" s="15" t="s">
        <v>17</v>
      </c>
      <c r="E9" s="20"/>
      <c r="F9" s="21"/>
      <c r="G9" s="21"/>
      <c r="H9" s="22" t="s">
        <v>42</v>
      </c>
      <c r="I9" s="23">
        <v>0</v>
      </c>
      <c r="J9" s="23"/>
      <c r="K9" s="23">
        <v>0</v>
      </c>
      <c r="L9" s="8"/>
      <c r="M9" s="21"/>
      <c r="N9" s="82" t="s">
        <v>109</v>
      </c>
      <c r="P9" s="6" t="s">
        <v>114</v>
      </c>
      <c r="Q9" s="7"/>
      <c r="R9" s="10"/>
    </row>
    <row r="10" spans="3:18" ht="14.4">
      <c r="C10" s="24">
        <v>46024</v>
      </c>
      <c r="D10" s="25"/>
      <c r="E10" s="16" t="s">
        <v>18</v>
      </c>
      <c r="F10" s="21"/>
      <c r="G10" s="26"/>
      <c r="H10" s="22" t="s">
        <v>48</v>
      </c>
      <c r="I10" s="21"/>
      <c r="J10" s="27"/>
      <c r="K10" s="7"/>
      <c r="L10" s="8"/>
      <c r="M10" s="21"/>
      <c r="N10" s="82" t="s">
        <v>109</v>
      </c>
      <c r="P10" s="6" t="s">
        <v>36</v>
      </c>
      <c r="Q10" s="7"/>
      <c r="R10" s="10"/>
    </row>
    <row r="11" spans="3:18" ht="14.4">
      <c r="C11" s="19">
        <v>46025</v>
      </c>
      <c r="D11" s="20"/>
      <c r="E11" s="16" t="s">
        <v>18</v>
      </c>
      <c r="F11" s="21"/>
      <c r="G11" s="21"/>
      <c r="H11" s="22" t="s">
        <v>52</v>
      </c>
      <c r="I11" s="21"/>
      <c r="J11" s="5"/>
      <c r="K11" s="7"/>
      <c r="L11" s="8"/>
      <c r="M11" s="21"/>
      <c r="N11" s="82" t="s">
        <v>109</v>
      </c>
      <c r="P11" s="6" t="s">
        <v>37</v>
      </c>
      <c r="Q11" s="7"/>
      <c r="R11" s="11"/>
    </row>
    <row r="12" spans="3:18" ht="14.4">
      <c r="C12" s="24">
        <v>46026</v>
      </c>
      <c r="D12" s="25"/>
      <c r="E12" s="16" t="s">
        <v>18</v>
      </c>
      <c r="F12" s="21"/>
      <c r="G12" s="21"/>
      <c r="H12" s="22" t="s">
        <v>52</v>
      </c>
      <c r="I12" s="21"/>
      <c r="J12" s="5"/>
      <c r="K12" s="7"/>
      <c r="L12" s="8"/>
      <c r="M12" s="21"/>
      <c r="N12" s="82" t="s">
        <v>109</v>
      </c>
      <c r="P12" s="6" t="s">
        <v>4</v>
      </c>
      <c r="Q12" s="7"/>
      <c r="R12" s="11"/>
    </row>
    <row r="13" spans="3:18" ht="14.4">
      <c r="C13" s="19">
        <v>46027</v>
      </c>
      <c r="D13" s="20"/>
      <c r="E13" s="16" t="s">
        <v>18</v>
      </c>
      <c r="F13" s="21"/>
      <c r="G13" s="21"/>
      <c r="H13" s="72" t="s">
        <v>54</v>
      </c>
      <c r="I13" s="21"/>
      <c r="J13" s="5"/>
      <c r="K13" s="7"/>
      <c r="L13" s="8"/>
      <c r="M13" s="21"/>
      <c r="N13" s="82" t="s">
        <v>109</v>
      </c>
      <c r="P13" s="6" t="s">
        <v>5</v>
      </c>
      <c r="Q13" s="7"/>
      <c r="R13" s="12"/>
    </row>
    <row r="14" spans="3:18" ht="14.4">
      <c r="C14" s="24">
        <v>46028</v>
      </c>
      <c r="D14" s="25"/>
      <c r="E14" s="16" t="s">
        <v>18</v>
      </c>
      <c r="F14" s="21"/>
      <c r="G14" s="21"/>
      <c r="H14" s="72" t="s">
        <v>59</v>
      </c>
      <c r="I14" s="21"/>
      <c r="J14" s="28"/>
      <c r="K14" s="7"/>
      <c r="L14" s="8"/>
      <c r="M14" s="21"/>
      <c r="N14" s="82" t="s">
        <v>109</v>
      </c>
      <c r="P14" s="6" t="s">
        <v>6</v>
      </c>
      <c r="Q14" s="7"/>
      <c r="R14" s="12"/>
    </row>
    <row r="15" spans="3:18" ht="14.4">
      <c r="C15" s="19">
        <v>46029</v>
      </c>
      <c r="D15" s="20"/>
      <c r="E15" s="16" t="s">
        <v>18</v>
      </c>
      <c r="F15" s="21"/>
      <c r="G15" s="21"/>
      <c r="H15" s="72" t="s">
        <v>61</v>
      </c>
      <c r="I15" s="21"/>
      <c r="J15" s="28"/>
      <c r="K15" s="7"/>
      <c r="L15" s="8"/>
      <c r="M15" s="21"/>
      <c r="N15" s="82" t="s">
        <v>109</v>
      </c>
      <c r="P15" s="6" t="s">
        <v>7</v>
      </c>
      <c r="Q15" s="7"/>
      <c r="R15" s="12"/>
    </row>
    <row r="16" spans="3:18" ht="14.4">
      <c r="C16" s="24">
        <v>46030</v>
      </c>
      <c r="D16" s="25"/>
      <c r="E16" s="16" t="s">
        <v>18</v>
      </c>
      <c r="F16" s="21"/>
      <c r="G16" s="21"/>
      <c r="H16" s="72" t="s">
        <v>53</v>
      </c>
      <c r="I16" s="21"/>
      <c r="J16" s="27"/>
      <c r="K16" s="7"/>
      <c r="L16" s="8"/>
      <c r="M16" s="23"/>
      <c r="N16" s="82" t="s">
        <v>109</v>
      </c>
      <c r="P16" s="6" t="s">
        <v>8</v>
      </c>
      <c r="Q16" s="7"/>
      <c r="R16" s="12"/>
    </row>
    <row r="17" spans="3:18" ht="14.4">
      <c r="C17" s="19">
        <v>46031</v>
      </c>
      <c r="D17" s="20"/>
      <c r="E17" s="16" t="s">
        <v>18</v>
      </c>
      <c r="F17" s="21"/>
      <c r="G17" s="21"/>
      <c r="H17" s="72" t="s">
        <v>53</v>
      </c>
      <c r="I17" s="21"/>
      <c r="J17" s="28"/>
      <c r="K17" s="7"/>
      <c r="L17" s="8"/>
      <c r="M17" s="21"/>
      <c r="N17" s="82" t="s">
        <v>109</v>
      </c>
      <c r="P17" s="6" t="s">
        <v>9</v>
      </c>
      <c r="Q17" s="7"/>
      <c r="R17" s="12"/>
    </row>
    <row r="18" spans="3:18" ht="14.4">
      <c r="C18" s="24">
        <v>46032</v>
      </c>
      <c r="D18" s="25"/>
      <c r="E18" s="16" t="s">
        <v>18</v>
      </c>
      <c r="F18" s="21"/>
      <c r="G18" s="21"/>
      <c r="H18" s="72" t="s">
        <v>53</v>
      </c>
      <c r="I18" s="21"/>
      <c r="J18" s="27"/>
      <c r="K18" s="7"/>
      <c r="L18" s="8"/>
      <c r="M18" s="21"/>
      <c r="N18" s="82" t="s">
        <v>109</v>
      </c>
      <c r="P18" s="6" t="s">
        <v>10</v>
      </c>
      <c r="Q18" s="7"/>
      <c r="R18" s="12"/>
    </row>
    <row r="19" spans="3:18" ht="14.4">
      <c r="C19" s="19">
        <v>46033</v>
      </c>
      <c r="D19" s="20"/>
      <c r="E19" s="16" t="s">
        <v>18</v>
      </c>
      <c r="F19" s="21"/>
      <c r="G19" s="21"/>
      <c r="H19" s="72" t="s">
        <v>53</v>
      </c>
      <c r="I19" s="21"/>
      <c r="J19" s="28"/>
      <c r="K19" s="7"/>
      <c r="L19" s="8"/>
      <c r="M19" s="21"/>
      <c r="N19" s="82" t="s">
        <v>109</v>
      </c>
      <c r="P19" s="6" t="s">
        <v>11</v>
      </c>
      <c r="Q19" s="7"/>
      <c r="R19" s="12"/>
    </row>
    <row r="20" spans="3:18" ht="14.4">
      <c r="C20" s="24">
        <v>46034</v>
      </c>
      <c r="D20" s="25"/>
      <c r="E20" s="16" t="s">
        <v>18</v>
      </c>
      <c r="F20" s="21"/>
      <c r="G20" s="21"/>
      <c r="H20" s="72" t="s">
        <v>53</v>
      </c>
      <c r="I20" s="21"/>
      <c r="J20" s="28"/>
      <c r="K20" s="7"/>
      <c r="L20" s="8"/>
      <c r="M20" s="21"/>
      <c r="N20" s="82" t="s">
        <v>109</v>
      </c>
    </row>
    <row r="21" spans="3:18" ht="15.75" customHeight="1">
      <c r="C21" s="19">
        <v>46035</v>
      </c>
      <c r="D21" s="20"/>
      <c r="E21" s="16" t="s">
        <v>18</v>
      </c>
      <c r="F21" s="21"/>
      <c r="G21" s="21"/>
      <c r="H21" s="72" t="s">
        <v>81</v>
      </c>
      <c r="I21" s="21"/>
      <c r="J21" s="28"/>
      <c r="K21" s="7"/>
      <c r="L21" s="8"/>
      <c r="M21" s="21"/>
      <c r="N21" s="82" t="s">
        <v>109</v>
      </c>
    </row>
    <row r="22" spans="3:18" ht="15.75" customHeight="1">
      <c r="C22" s="24">
        <v>46036</v>
      </c>
      <c r="D22" s="15" t="s">
        <v>17</v>
      </c>
      <c r="E22" s="20"/>
      <c r="F22" s="21"/>
      <c r="G22" s="21"/>
      <c r="H22" s="72" t="s">
        <v>89</v>
      </c>
      <c r="I22" s="21"/>
      <c r="J22" s="28"/>
      <c r="K22" s="7"/>
      <c r="L22" s="8"/>
      <c r="M22" s="21"/>
      <c r="N22" s="82" t="s">
        <v>109</v>
      </c>
    </row>
    <row r="23" spans="3:18" ht="15.75" customHeight="1">
      <c r="C23" s="19">
        <v>46037</v>
      </c>
      <c r="D23" s="20"/>
      <c r="E23" s="16" t="s">
        <v>18</v>
      </c>
      <c r="F23" s="21"/>
      <c r="G23" s="21"/>
      <c r="H23" s="72" t="s">
        <v>88</v>
      </c>
      <c r="I23" s="21"/>
      <c r="J23" s="28"/>
      <c r="K23" s="7"/>
      <c r="L23" s="8"/>
      <c r="M23" s="21"/>
      <c r="N23" s="82" t="s">
        <v>110</v>
      </c>
    </row>
    <row r="24" spans="3:18" ht="15.75" customHeight="1">
      <c r="C24" s="24">
        <v>46038</v>
      </c>
      <c r="D24" s="25"/>
      <c r="E24" s="16" t="s">
        <v>18</v>
      </c>
      <c r="F24" s="21"/>
      <c r="G24" s="21"/>
      <c r="H24" s="72" t="s">
        <v>92</v>
      </c>
      <c r="I24" s="21"/>
      <c r="J24" s="28"/>
      <c r="K24" s="7"/>
      <c r="L24" s="8"/>
      <c r="M24" s="21"/>
      <c r="N24" s="82" t="s">
        <v>110</v>
      </c>
    </row>
    <row r="25" spans="3:18" ht="15.75" customHeight="1">
      <c r="C25" s="19">
        <v>46039</v>
      </c>
      <c r="D25" s="20"/>
      <c r="E25" s="16" t="s">
        <v>18</v>
      </c>
      <c r="F25" s="21"/>
      <c r="G25" s="21"/>
      <c r="H25" s="72" t="s">
        <v>53</v>
      </c>
      <c r="I25" s="21"/>
      <c r="J25" s="28"/>
      <c r="K25" s="7"/>
      <c r="L25" s="8"/>
      <c r="M25" s="21"/>
      <c r="N25" s="82" t="s">
        <v>111</v>
      </c>
    </row>
    <row r="26" spans="3:18" ht="15.75" customHeight="1">
      <c r="C26" s="24">
        <v>46040</v>
      </c>
      <c r="D26" s="25"/>
      <c r="E26" s="16" t="s">
        <v>18</v>
      </c>
      <c r="F26" s="21"/>
      <c r="G26" s="21"/>
      <c r="H26" s="72" t="s">
        <v>97</v>
      </c>
      <c r="I26" s="21"/>
      <c r="J26" s="27"/>
      <c r="K26" s="7"/>
      <c r="L26" s="8"/>
      <c r="M26" s="21"/>
      <c r="N26" s="82" t="s">
        <v>112</v>
      </c>
    </row>
    <row r="27" spans="3:18" ht="15.75" customHeight="1">
      <c r="C27" s="19">
        <v>46041</v>
      </c>
      <c r="D27" s="15" t="s">
        <v>17</v>
      </c>
      <c r="E27" s="20"/>
      <c r="F27" s="21"/>
      <c r="G27" s="21"/>
      <c r="H27" s="72" t="s">
        <v>100</v>
      </c>
      <c r="I27" s="21"/>
      <c r="J27" s="28"/>
      <c r="K27" s="7"/>
      <c r="L27" s="8"/>
      <c r="M27" s="21"/>
      <c r="N27" s="82" t="s">
        <v>112</v>
      </c>
    </row>
    <row r="28" spans="3:18" ht="15.75" customHeight="1">
      <c r="C28" s="24">
        <v>46042</v>
      </c>
      <c r="D28" s="25"/>
      <c r="E28" s="16" t="s">
        <v>18</v>
      </c>
      <c r="F28" s="21"/>
      <c r="G28" s="21"/>
      <c r="H28" s="72" t="s">
        <v>104</v>
      </c>
      <c r="I28" s="21"/>
      <c r="J28" s="28"/>
      <c r="K28" s="7"/>
      <c r="L28" s="8"/>
      <c r="M28" s="21"/>
      <c r="N28" s="82" t="s">
        <v>112</v>
      </c>
    </row>
    <row r="29" spans="3:18" ht="15.75" customHeight="1">
      <c r="C29" s="19">
        <v>46043</v>
      </c>
      <c r="D29" s="20"/>
      <c r="E29" s="16" t="s">
        <v>18</v>
      </c>
      <c r="F29" s="21"/>
      <c r="G29" s="21"/>
      <c r="H29" s="72" t="s">
        <v>108</v>
      </c>
      <c r="I29" s="21"/>
      <c r="J29" s="28"/>
      <c r="K29" s="7"/>
      <c r="L29" s="8"/>
      <c r="M29" s="21"/>
      <c r="N29" s="82" t="s">
        <v>112</v>
      </c>
    </row>
    <row r="30" spans="3:18" ht="15.75" customHeight="1">
      <c r="C30" s="24">
        <v>46044</v>
      </c>
      <c r="D30" s="25"/>
      <c r="E30" s="16" t="s">
        <v>18</v>
      </c>
      <c r="F30" s="21"/>
      <c r="G30" s="21"/>
      <c r="H30" s="72" t="s">
        <v>53</v>
      </c>
      <c r="I30" s="21"/>
      <c r="J30" s="28"/>
      <c r="K30" s="7"/>
      <c r="L30" s="8"/>
      <c r="M30" s="21"/>
      <c r="N30" s="21"/>
    </row>
    <row r="31" spans="3:18" ht="15.75" customHeight="1">
      <c r="C31" s="19">
        <v>46045</v>
      </c>
      <c r="D31" s="20"/>
      <c r="E31" s="16" t="s">
        <v>18</v>
      </c>
      <c r="F31" s="21"/>
      <c r="G31" s="21"/>
      <c r="H31" s="72" t="s">
        <v>53</v>
      </c>
      <c r="I31" s="21"/>
      <c r="J31" s="27"/>
      <c r="K31" s="7"/>
      <c r="L31" s="8"/>
      <c r="M31" s="21"/>
      <c r="N31" s="21"/>
    </row>
    <row r="32" spans="3:18" ht="15.75" customHeight="1">
      <c r="C32" s="24">
        <v>46046</v>
      </c>
      <c r="D32" s="25"/>
      <c r="E32" s="16" t="s">
        <v>18</v>
      </c>
      <c r="F32" s="21"/>
      <c r="G32" s="21"/>
      <c r="H32" s="72" t="s">
        <v>53</v>
      </c>
      <c r="I32" s="21"/>
      <c r="J32" s="28"/>
      <c r="K32" s="7"/>
      <c r="L32" s="8"/>
      <c r="M32" s="21"/>
      <c r="N32" s="21"/>
    </row>
    <row r="33" spans="3:18" ht="15.75" customHeight="1">
      <c r="C33" s="19">
        <v>46047</v>
      </c>
      <c r="D33" s="20"/>
      <c r="E33" s="16" t="s">
        <v>18</v>
      </c>
      <c r="F33" s="21"/>
      <c r="G33" s="21"/>
      <c r="H33" s="72" t="s">
        <v>53</v>
      </c>
      <c r="I33" s="21"/>
      <c r="J33" s="28"/>
      <c r="K33" s="7"/>
      <c r="L33" s="8"/>
      <c r="M33" s="21"/>
      <c r="N33" s="21"/>
    </row>
    <row r="34" spans="3:18" ht="15.75" customHeight="1">
      <c r="C34" s="24">
        <v>46048</v>
      </c>
      <c r="D34" s="25"/>
      <c r="E34" s="16" t="s">
        <v>18</v>
      </c>
      <c r="F34" s="21"/>
      <c r="G34" s="21"/>
      <c r="H34" s="72" t="s">
        <v>53</v>
      </c>
      <c r="I34" s="21"/>
      <c r="J34" s="28"/>
      <c r="K34" s="7"/>
      <c r="L34" s="8"/>
      <c r="M34" s="21"/>
      <c r="N34" s="21"/>
    </row>
    <row r="35" spans="3:18" ht="15.75" customHeight="1">
      <c r="C35" s="19">
        <v>46049</v>
      </c>
      <c r="D35" s="20"/>
      <c r="E35" s="16" t="s">
        <v>18</v>
      </c>
      <c r="F35" s="21"/>
      <c r="G35" s="21"/>
      <c r="H35" s="72" t="s">
        <v>53</v>
      </c>
      <c r="I35" s="21"/>
      <c r="J35" s="28"/>
      <c r="K35" s="7"/>
      <c r="L35" s="8"/>
      <c r="M35" s="21"/>
      <c r="N35" s="21"/>
    </row>
    <row r="36" spans="3:18" ht="15.75" customHeight="1">
      <c r="C36" s="24">
        <v>46050</v>
      </c>
      <c r="D36" s="25"/>
      <c r="E36" s="16" t="s">
        <v>18</v>
      </c>
      <c r="F36" s="21"/>
      <c r="G36" s="21"/>
      <c r="H36" s="72" t="s">
        <v>53</v>
      </c>
      <c r="I36" s="21"/>
      <c r="J36" s="28"/>
      <c r="K36" s="7"/>
      <c r="L36" s="8"/>
      <c r="M36" s="21"/>
      <c r="N36" s="21"/>
    </row>
    <row r="37" spans="3:18" ht="15.75" customHeight="1">
      <c r="C37" s="19">
        <v>46051</v>
      </c>
      <c r="D37" s="20"/>
      <c r="E37" s="16" t="s">
        <v>18</v>
      </c>
      <c r="F37" s="21"/>
      <c r="G37" s="21"/>
      <c r="H37" s="72" t="s">
        <v>53</v>
      </c>
      <c r="I37" s="21"/>
      <c r="J37" s="28"/>
      <c r="K37" s="7"/>
      <c r="L37" s="8"/>
      <c r="M37" s="21"/>
      <c r="N37" s="21"/>
    </row>
    <row r="38" spans="3:18" ht="15.75" customHeight="1">
      <c r="C38" s="24">
        <v>46052</v>
      </c>
      <c r="D38" s="25"/>
      <c r="E38" s="16" t="s">
        <v>18</v>
      </c>
      <c r="F38" s="21"/>
      <c r="G38" s="21"/>
      <c r="H38" s="72" t="s">
        <v>264</v>
      </c>
      <c r="I38" s="21"/>
      <c r="J38" s="28"/>
      <c r="K38" s="7"/>
      <c r="L38" s="8"/>
      <c r="M38" s="21"/>
      <c r="N38" s="21"/>
    </row>
    <row r="39" spans="3:18" ht="15.75" customHeight="1">
      <c r="C39" s="19">
        <v>46053</v>
      </c>
      <c r="D39" s="20"/>
      <c r="E39" s="16" t="s">
        <v>18</v>
      </c>
      <c r="F39" s="21"/>
      <c r="G39" s="80"/>
      <c r="H39" s="103" t="s">
        <v>264</v>
      </c>
      <c r="I39" s="104"/>
      <c r="J39" s="31"/>
      <c r="K39" s="32"/>
      <c r="L39" s="33"/>
      <c r="M39" s="30"/>
      <c r="N39" s="30"/>
    </row>
    <row r="40" spans="3:18" ht="15.75" customHeight="1">
      <c r="C40" s="13"/>
      <c r="K40" s="2"/>
      <c r="L40" s="2"/>
    </row>
    <row r="41" spans="3:18" ht="15.75" customHeight="1">
      <c r="C41" s="13"/>
      <c r="K41" s="2"/>
      <c r="L41" s="2"/>
    </row>
    <row r="42" spans="3:18" ht="21">
      <c r="C42" s="164" t="s">
        <v>322</v>
      </c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6"/>
      <c r="P42" s="4" t="s">
        <v>1</v>
      </c>
      <c r="Q42" s="4" t="s">
        <v>2</v>
      </c>
      <c r="R42" s="4" t="s">
        <v>3</v>
      </c>
    </row>
    <row r="43" spans="3:18" ht="15.6">
      <c r="C43" s="14" t="s">
        <v>16</v>
      </c>
      <c r="D43" s="15" t="s">
        <v>17</v>
      </c>
      <c r="E43" s="16" t="s">
        <v>18</v>
      </c>
      <c r="F43" s="17" t="s">
        <v>19</v>
      </c>
      <c r="G43" s="17" t="s">
        <v>20</v>
      </c>
      <c r="H43" s="17" t="s">
        <v>21</v>
      </c>
      <c r="I43" s="17" t="s">
        <v>22</v>
      </c>
      <c r="J43" s="17" t="s">
        <v>2</v>
      </c>
      <c r="K43" s="18" t="s">
        <v>23</v>
      </c>
      <c r="L43" s="18" t="s">
        <v>24</v>
      </c>
      <c r="M43" s="17" t="s">
        <v>25</v>
      </c>
      <c r="N43" s="17" t="s">
        <v>26</v>
      </c>
      <c r="P43" s="6" t="s">
        <v>34</v>
      </c>
      <c r="Q43" s="7"/>
      <c r="R43" s="8"/>
    </row>
    <row r="44" spans="3:18" ht="14.4">
      <c r="C44" s="105">
        <v>46054</v>
      </c>
      <c r="D44" s="15"/>
      <c r="E44" s="16" t="s">
        <v>18</v>
      </c>
      <c r="F44" s="21"/>
      <c r="G44" s="21"/>
      <c r="H44" s="22" t="s">
        <v>324</v>
      </c>
      <c r="I44" s="23"/>
      <c r="J44" s="23"/>
      <c r="K44" s="23"/>
      <c r="L44" s="8"/>
      <c r="M44" s="21"/>
      <c r="N44" s="82"/>
      <c r="P44" s="6"/>
      <c r="Q44" s="7"/>
      <c r="R44" s="10"/>
    </row>
    <row r="45" spans="3:18" ht="14.4">
      <c r="C45" s="105">
        <v>46055</v>
      </c>
      <c r="D45" s="25"/>
      <c r="E45" s="16" t="s">
        <v>18</v>
      </c>
      <c r="F45" s="21"/>
      <c r="G45" s="26"/>
      <c r="H45" s="22" t="s">
        <v>324</v>
      </c>
      <c r="I45" s="21"/>
      <c r="J45" s="27"/>
      <c r="K45" s="7"/>
      <c r="L45" s="8"/>
      <c r="M45" s="21"/>
      <c r="N45" s="82"/>
      <c r="P45" s="6"/>
      <c r="Q45" s="7"/>
      <c r="R45" s="10"/>
    </row>
    <row r="46" spans="3:18" ht="14.4">
      <c r="C46" s="105">
        <v>46056</v>
      </c>
      <c r="D46" s="20"/>
      <c r="E46" s="16" t="s">
        <v>18</v>
      </c>
      <c r="F46" s="21"/>
      <c r="G46" s="21"/>
      <c r="H46" s="22" t="s">
        <v>324</v>
      </c>
      <c r="I46" s="21"/>
      <c r="J46" s="5"/>
      <c r="K46" s="7"/>
      <c r="L46" s="8"/>
      <c r="M46" s="21"/>
      <c r="N46" s="82"/>
      <c r="P46" s="6"/>
      <c r="Q46" s="7"/>
      <c r="R46" s="11"/>
    </row>
    <row r="47" spans="3:18" ht="14.4">
      <c r="C47" s="105">
        <v>46057</v>
      </c>
      <c r="D47" s="25"/>
      <c r="E47" s="15" t="s">
        <v>17</v>
      </c>
      <c r="F47" s="21"/>
      <c r="G47" s="21"/>
      <c r="H47" s="22" t="s">
        <v>325</v>
      </c>
      <c r="I47" s="21"/>
      <c r="J47" s="5"/>
      <c r="K47" s="7"/>
      <c r="L47" s="8"/>
      <c r="M47" s="21"/>
      <c r="N47" s="82"/>
      <c r="P47" s="6"/>
      <c r="Q47" s="7"/>
      <c r="R47" s="11"/>
    </row>
    <row r="48" spans="3:18" ht="14.4">
      <c r="C48" s="105">
        <v>46058</v>
      </c>
      <c r="D48" s="20"/>
      <c r="E48" s="15" t="s">
        <v>17</v>
      </c>
      <c r="F48" s="21"/>
      <c r="G48" s="21"/>
      <c r="H48" s="22" t="s">
        <v>326</v>
      </c>
      <c r="I48" s="21"/>
      <c r="J48" s="5"/>
      <c r="K48" s="7"/>
      <c r="L48" s="8"/>
      <c r="M48" s="21"/>
      <c r="N48" s="82"/>
      <c r="P48" s="6"/>
      <c r="Q48" s="7"/>
      <c r="R48" s="12"/>
    </row>
    <row r="49" spans="3:18" ht="14.4">
      <c r="C49" s="105">
        <v>46059</v>
      </c>
      <c r="D49" s="25"/>
      <c r="E49" s="16" t="s">
        <v>18</v>
      </c>
      <c r="F49" s="21"/>
      <c r="G49" s="21"/>
      <c r="H49" s="22" t="s">
        <v>327</v>
      </c>
      <c r="I49" s="21"/>
      <c r="J49" s="28"/>
      <c r="K49" s="7"/>
      <c r="L49" s="8"/>
      <c r="M49" s="21"/>
      <c r="N49" s="82"/>
      <c r="P49" s="6"/>
      <c r="Q49" s="7"/>
      <c r="R49" s="12"/>
    </row>
    <row r="50" spans="3:18" ht="14.4">
      <c r="C50" s="105">
        <v>46060</v>
      </c>
      <c r="D50" s="20"/>
      <c r="E50" s="16" t="s">
        <v>18</v>
      </c>
      <c r="F50" s="21"/>
      <c r="G50" s="21"/>
      <c r="H50" s="22" t="s">
        <v>324</v>
      </c>
      <c r="I50" s="21"/>
      <c r="J50" s="28"/>
      <c r="K50" s="7"/>
      <c r="L50" s="8"/>
      <c r="M50" s="21"/>
      <c r="N50" s="82"/>
      <c r="P50" s="6"/>
      <c r="Q50" s="7"/>
      <c r="R50" s="12"/>
    </row>
    <row r="51" spans="3:18" ht="14.4">
      <c r="C51" s="105">
        <v>46061</v>
      </c>
      <c r="D51" s="25"/>
      <c r="E51" s="16" t="s">
        <v>18</v>
      </c>
      <c r="F51" s="21"/>
      <c r="G51" s="21"/>
      <c r="H51" s="22" t="s">
        <v>324</v>
      </c>
      <c r="I51" s="21"/>
      <c r="J51" s="27"/>
      <c r="K51" s="7"/>
      <c r="L51" s="8"/>
      <c r="M51" s="23"/>
      <c r="N51" s="82"/>
      <c r="P51" s="6"/>
      <c r="Q51" s="7"/>
      <c r="R51" s="12"/>
    </row>
    <row r="52" spans="3:18" ht="14.4">
      <c r="C52" s="105">
        <v>46062</v>
      </c>
      <c r="D52" s="20"/>
      <c r="E52" s="16" t="s">
        <v>18</v>
      </c>
      <c r="F52" s="21"/>
      <c r="G52" s="21"/>
      <c r="H52" s="22" t="s">
        <v>324</v>
      </c>
      <c r="I52" s="21"/>
      <c r="J52" s="28"/>
      <c r="K52" s="7"/>
      <c r="L52" s="8"/>
      <c r="M52" s="21"/>
      <c r="N52" s="82"/>
      <c r="P52" s="6"/>
      <c r="Q52" s="7"/>
      <c r="R52" s="12"/>
    </row>
    <row r="53" spans="3:18" ht="14.4">
      <c r="C53" s="105">
        <v>46063</v>
      </c>
      <c r="D53" s="25"/>
      <c r="E53" s="16" t="s">
        <v>18</v>
      </c>
      <c r="F53" s="21"/>
      <c r="G53" s="21"/>
      <c r="H53" s="22" t="s">
        <v>324</v>
      </c>
      <c r="I53" s="21"/>
      <c r="J53" s="27"/>
      <c r="K53" s="7"/>
      <c r="L53" s="8"/>
      <c r="M53" s="21"/>
      <c r="N53" s="82"/>
      <c r="P53" s="6"/>
      <c r="Q53" s="7"/>
      <c r="R53" s="12"/>
    </row>
    <row r="54" spans="3:18" ht="14.4">
      <c r="C54" s="105">
        <v>46064</v>
      </c>
      <c r="D54" s="20"/>
      <c r="E54" s="16" t="s">
        <v>18</v>
      </c>
      <c r="F54" s="21"/>
      <c r="G54" s="21"/>
      <c r="H54" s="22" t="s">
        <v>324</v>
      </c>
      <c r="I54" s="21"/>
      <c r="J54" s="28"/>
      <c r="K54" s="7"/>
      <c r="L54" s="8"/>
      <c r="M54" s="21"/>
      <c r="N54" s="82"/>
      <c r="P54" s="6"/>
      <c r="Q54" s="7"/>
      <c r="R54" s="12"/>
    </row>
    <row r="55" spans="3:18" ht="14.4">
      <c r="C55" s="105">
        <v>46065</v>
      </c>
      <c r="D55" s="25"/>
      <c r="E55" s="16" t="s">
        <v>18</v>
      </c>
      <c r="F55" s="21"/>
      <c r="G55" s="21"/>
      <c r="H55" s="22" t="s">
        <v>324</v>
      </c>
      <c r="I55" s="21"/>
      <c r="J55" s="28"/>
      <c r="K55" s="7"/>
      <c r="L55" s="8"/>
      <c r="M55" s="21"/>
      <c r="N55" s="82"/>
    </row>
    <row r="56" spans="3:18" ht="15.75" customHeight="1">
      <c r="C56" s="105">
        <v>46066</v>
      </c>
      <c r="D56" s="20"/>
      <c r="E56" s="16" t="s">
        <v>18</v>
      </c>
      <c r="F56" s="21"/>
      <c r="G56" s="21"/>
      <c r="H56" s="22" t="s">
        <v>324</v>
      </c>
      <c r="I56" s="21"/>
      <c r="J56" s="28"/>
      <c r="K56" s="7"/>
      <c r="L56" s="8"/>
      <c r="M56" s="21"/>
      <c r="N56" s="82"/>
    </row>
    <row r="57" spans="3:18" ht="15.75" customHeight="1">
      <c r="C57" s="105">
        <v>46067</v>
      </c>
      <c r="D57" s="15"/>
      <c r="E57" s="16" t="s">
        <v>18</v>
      </c>
      <c r="F57" s="21"/>
      <c r="G57" s="21"/>
      <c r="H57" s="22" t="s">
        <v>324</v>
      </c>
      <c r="I57" s="21"/>
      <c r="J57" s="28"/>
      <c r="K57" s="7"/>
      <c r="L57" s="8"/>
      <c r="M57" s="21"/>
      <c r="N57" s="82"/>
    </row>
    <row r="58" spans="3:18" ht="15.75" customHeight="1">
      <c r="C58" s="105">
        <v>46068</v>
      </c>
      <c r="D58" s="20"/>
      <c r="E58" s="16" t="s">
        <v>18</v>
      </c>
      <c r="F58" s="21"/>
      <c r="G58" s="21"/>
      <c r="H58" s="22" t="s">
        <v>324</v>
      </c>
      <c r="I58" s="21"/>
      <c r="J58" s="28"/>
      <c r="K58" s="7"/>
      <c r="L58" s="8"/>
      <c r="M58" s="21"/>
      <c r="N58" s="82"/>
    </row>
    <row r="59" spans="3:18" ht="15.75" customHeight="1">
      <c r="C59" s="105">
        <v>46069</v>
      </c>
      <c r="D59" s="25"/>
      <c r="E59" s="16" t="s">
        <v>18</v>
      </c>
      <c r="F59" s="21"/>
      <c r="G59" s="21"/>
      <c r="H59" s="72" t="s">
        <v>324</v>
      </c>
      <c r="I59" s="21"/>
      <c r="J59" s="28"/>
      <c r="K59" s="7"/>
      <c r="L59" s="8"/>
      <c r="M59" s="21"/>
      <c r="N59" s="82"/>
    </row>
    <row r="60" spans="3:18" ht="15.75" customHeight="1">
      <c r="C60" s="105">
        <v>46070</v>
      </c>
      <c r="D60" s="20"/>
      <c r="E60" s="16" t="s">
        <v>18</v>
      </c>
      <c r="F60" s="21"/>
      <c r="G60" s="21"/>
      <c r="H60" s="72" t="s">
        <v>324</v>
      </c>
      <c r="I60" s="21"/>
      <c r="J60" s="28"/>
      <c r="K60" s="7"/>
      <c r="L60" s="8"/>
      <c r="M60" s="21"/>
      <c r="N60" s="82"/>
    </row>
    <row r="61" spans="3:18" ht="15.75" customHeight="1">
      <c r="C61" s="105">
        <v>46071</v>
      </c>
      <c r="D61" s="25"/>
      <c r="E61" s="16" t="s">
        <v>18</v>
      </c>
      <c r="F61" s="21"/>
      <c r="G61" s="21"/>
      <c r="H61" s="72" t="s">
        <v>324</v>
      </c>
      <c r="I61" s="21"/>
      <c r="J61" s="27"/>
      <c r="K61" s="7"/>
      <c r="L61" s="8"/>
      <c r="M61" s="21"/>
      <c r="N61" s="82"/>
    </row>
    <row r="62" spans="3:18" ht="15.75" customHeight="1">
      <c r="C62" s="105">
        <v>46072</v>
      </c>
      <c r="D62" s="15"/>
      <c r="E62" s="16" t="s">
        <v>18</v>
      </c>
      <c r="F62" s="21"/>
      <c r="G62" s="21"/>
      <c r="H62" s="72" t="s">
        <v>324</v>
      </c>
      <c r="I62" s="21"/>
      <c r="J62" s="28"/>
      <c r="K62" s="7"/>
      <c r="L62" s="8"/>
      <c r="M62" s="21"/>
      <c r="N62" s="82"/>
    </row>
    <row r="63" spans="3:18" ht="15.75" customHeight="1">
      <c r="C63" s="105">
        <v>46073</v>
      </c>
      <c r="D63" s="25"/>
      <c r="E63" s="16" t="s">
        <v>18</v>
      </c>
      <c r="F63" s="21"/>
      <c r="G63" s="21"/>
      <c r="H63" s="72" t="s">
        <v>324</v>
      </c>
      <c r="I63" s="21"/>
      <c r="J63" s="28"/>
      <c r="K63" s="7"/>
      <c r="L63" s="8"/>
      <c r="M63" s="21"/>
      <c r="N63" s="82"/>
    </row>
    <row r="64" spans="3:18" ht="15.75" customHeight="1">
      <c r="C64" s="105">
        <v>46074</v>
      </c>
      <c r="D64" s="20"/>
      <c r="E64" s="16" t="s">
        <v>18</v>
      </c>
      <c r="F64" s="21"/>
      <c r="G64" s="21"/>
      <c r="H64" s="72" t="s">
        <v>324</v>
      </c>
      <c r="I64" s="21"/>
      <c r="J64" s="28"/>
      <c r="K64" s="7"/>
      <c r="L64" s="8"/>
      <c r="M64" s="21"/>
      <c r="N64" s="82"/>
    </row>
    <row r="65" spans="3:18" ht="15.75" customHeight="1">
      <c r="C65" s="105">
        <v>46075</v>
      </c>
      <c r="D65" s="25"/>
      <c r="E65" s="16" t="s">
        <v>18</v>
      </c>
      <c r="F65" s="21"/>
      <c r="G65" s="21"/>
      <c r="H65" s="72" t="s">
        <v>324</v>
      </c>
      <c r="I65" s="21"/>
      <c r="J65" s="28"/>
      <c r="K65" s="7"/>
      <c r="L65" s="8"/>
      <c r="M65" s="21"/>
      <c r="N65" s="21"/>
    </row>
    <row r="66" spans="3:18" ht="15.75" customHeight="1">
      <c r="C66" s="105">
        <v>46076</v>
      </c>
      <c r="D66" s="20"/>
      <c r="E66" s="16" t="s">
        <v>18</v>
      </c>
      <c r="F66" s="21"/>
      <c r="G66" s="21"/>
      <c r="H66" s="72" t="s">
        <v>324</v>
      </c>
      <c r="I66" s="21"/>
      <c r="J66" s="27"/>
      <c r="K66" s="7"/>
      <c r="L66" s="8"/>
      <c r="M66" s="21"/>
      <c r="N66" s="21"/>
    </row>
    <row r="67" spans="3:18" ht="15.75" customHeight="1">
      <c r="C67" s="105">
        <v>46077</v>
      </c>
      <c r="D67" s="25"/>
      <c r="E67" s="16" t="s">
        <v>18</v>
      </c>
      <c r="F67" s="21"/>
      <c r="G67" s="21"/>
      <c r="H67" s="72" t="s">
        <v>324</v>
      </c>
      <c r="I67" s="21"/>
      <c r="J67" s="28"/>
      <c r="K67" s="7"/>
      <c r="L67" s="8"/>
      <c r="M67" s="21"/>
      <c r="N67" s="21"/>
    </row>
    <row r="68" spans="3:18" ht="15.75" customHeight="1">
      <c r="C68" s="105">
        <v>46078</v>
      </c>
      <c r="D68" s="20"/>
      <c r="E68" s="16" t="s">
        <v>18</v>
      </c>
      <c r="F68" s="21"/>
      <c r="G68" s="21"/>
      <c r="H68" s="72" t="s">
        <v>324</v>
      </c>
      <c r="I68" s="21"/>
      <c r="J68" s="28"/>
      <c r="K68" s="7"/>
      <c r="L68" s="8"/>
      <c r="M68" s="21"/>
      <c r="N68" s="21"/>
    </row>
    <row r="69" spans="3:18" ht="15.75" customHeight="1">
      <c r="C69" s="105">
        <v>46079</v>
      </c>
      <c r="D69" s="25"/>
      <c r="E69" s="16" t="s">
        <v>18</v>
      </c>
      <c r="F69" s="21"/>
      <c r="G69" s="21"/>
      <c r="H69" s="72" t="s">
        <v>324</v>
      </c>
      <c r="I69" s="21"/>
      <c r="J69" s="28"/>
      <c r="K69" s="7"/>
      <c r="L69" s="8"/>
      <c r="M69" s="21"/>
      <c r="N69" s="21"/>
    </row>
    <row r="70" spans="3:18" ht="15.75" customHeight="1">
      <c r="C70" s="105">
        <v>46080</v>
      </c>
      <c r="D70" s="20"/>
      <c r="E70" s="16" t="s">
        <v>18</v>
      </c>
      <c r="F70" s="21"/>
      <c r="G70" s="21"/>
      <c r="H70" s="72" t="s">
        <v>324</v>
      </c>
      <c r="I70" s="21"/>
      <c r="J70" s="28"/>
      <c r="K70" s="7"/>
      <c r="L70" s="8"/>
      <c r="M70" s="21"/>
      <c r="N70" s="21"/>
    </row>
    <row r="71" spans="3:18" ht="15.75" customHeight="1">
      <c r="C71" s="105">
        <v>46081</v>
      </c>
      <c r="D71" s="25"/>
      <c r="E71" s="16" t="s">
        <v>18</v>
      </c>
      <c r="F71" s="21"/>
      <c r="G71" s="78"/>
      <c r="H71" s="72" t="s">
        <v>324</v>
      </c>
      <c r="I71" s="55"/>
      <c r="J71" s="28"/>
      <c r="K71" s="7"/>
      <c r="L71" s="8"/>
      <c r="M71" s="21"/>
      <c r="N71" s="21"/>
    </row>
    <row r="72" spans="3:18" ht="15.75" customHeight="1">
      <c r="C72" s="13"/>
      <c r="K72" s="2"/>
      <c r="L72" s="2"/>
    </row>
    <row r="73" spans="3:18" ht="21">
      <c r="C73" s="164" t="s">
        <v>322</v>
      </c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6"/>
      <c r="P73" s="4" t="s">
        <v>1</v>
      </c>
      <c r="Q73" s="4" t="s">
        <v>2</v>
      </c>
      <c r="R73" s="4" t="s">
        <v>3</v>
      </c>
    </row>
    <row r="74" spans="3:18" ht="15.6">
      <c r="C74" s="14" t="s">
        <v>16</v>
      </c>
      <c r="D74" s="15" t="s">
        <v>17</v>
      </c>
      <c r="E74" s="16" t="s">
        <v>18</v>
      </c>
      <c r="F74" s="17" t="s">
        <v>19</v>
      </c>
      <c r="G74" s="17" t="s">
        <v>20</v>
      </c>
      <c r="H74" s="17" t="s">
        <v>21</v>
      </c>
      <c r="I74" s="17" t="s">
        <v>22</v>
      </c>
      <c r="J74" s="17" t="s">
        <v>2</v>
      </c>
      <c r="K74" s="18" t="s">
        <v>23</v>
      </c>
      <c r="L74" s="18" t="s">
        <v>24</v>
      </c>
      <c r="M74" s="17" t="s">
        <v>25</v>
      </c>
      <c r="N74" s="17" t="s">
        <v>26</v>
      </c>
      <c r="P74" s="6" t="s">
        <v>34</v>
      </c>
      <c r="Q74" s="7"/>
      <c r="R74" s="8"/>
    </row>
    <row r="75" spans="3:18" ht="14.4">
      <c r="C75" s="105">
        <v>46082</v>
      </c>
      <c r="D75" s="125"/>
      <c r="E75" s="16" t="s">
        <v>18</v>
      </c>
      <c r="F75" s="21"/>
      <c r="G75" s="21"/>
      <c r="H75" s="22" t="s">
        <v>324</v>
      </c>
      <c r="I75" s="23"/>
      <c r="J75" s="23"/>
      <c r="K75" s="23"/>
      <c r="L75" s="8"/>
      <c r="M75" s="21"/>
      <c r="N75" s="82"/>
      <c r="P75" s="6"/>
      <c r="Q75" s="7"/>
      <c r="R75" s="10"/>
    </row>
    <row r="76" spans="3:18" ht="14.4">
      <c r="C76" s="105">
        <v>46083</v>
      </c>
      <c r="D76" s="125"/>
      <c r="E76" s="112" t="s">
        <v>18</v>
      </c>
      <c r="F76" s="73"/>
      <c r="G76" s="126"/>
      <c r="H76" s="22" t="s">
        <v>324</v>
      </c>
      <c r="I76" s="21"/>
      <c r="J76" s="27"/>
      <c r="K76" s="7"/>
      <c r="L76" s="8"/>
      <c r="M76" s="21"/>
      <c r="N76" s="82"/>
      <c r="P76" s="6"/>
      <c r="Q76" s="7"/>
      <c r="R76" s="10"/>
    </row>
    <row r="77" spans="3:18" ht="14.4">
      <c r="C77" s="122">
        <v>46084</v>
      </c>
      <c r="D77" s="109"/>
      <c r="E77" s="112" t="s">
        <v>18</v>
      </c>
      <c r="F77" s="121"/>
      <c r="G77" s="121"/>
      <c r="H77" s="22" t="s">
        <v>422</v>
      </c>
      <c r="I77" s="55"/>
      <c r="J77" s="5"/>
      <c r="K77" s="7"/>
      <c r="L77" s="8"/>
      <c r="M77" s="21"/>
      <c r="N77" s="82"/>
      <c r="P77" s="6"/>
      <c r="Q77" s="7"/>
      <c r="R77" s="11"/>
    </row>
    <row r="78" spans="3:18" ht="14.4">
      <c r="C78" s="122">
        <v>46085</v>
      </c>
      <c r="D78" s="15" t="s">
        <v>17</v>
      </c>
      <c r="F78" s="121"/>
      <c r="G78" s="121"/>
      <c r="H78" s="22" t="s">
        <v>433</v>
      </c>
      <c r="I78" s="55"/>
      <c r="J78" s="5"/>
      <c r="K78" s="7"/>
      <c r="L78" s="8"/>
      <c r="M78" s="21"/>
      <c r="N78" s="82"/>
      <c r="P78" s="6"/>
      <c r="Q78" s="7"/>
      <c r="R78" s="11"/>
    </row>
    <row r="79" spans="3:18" ht="14.4">
      <c r="C79" s="122">
        <v>46086</v>
      </c>
      <c r="D79" s="109"/>
      <c r="E79" s="112" t="s">
        <v>18</v>
      </c>
      <c r="F79" s="121"/>
      <c r="G79" s="121"/>
      <c r="H79" s="22" t="s">
        <v>465</v>
      </c>
      <c r="I79" s="55"/>
      <c r="J79" s="5"/>
      <c r="K79" s="7"/>
      <c r="L79" s="8"/>
      <c r="M79" s="21"/>
      <c r="N79" s="82"/>
      <c r="P79" s="6"/>
      <c r="Q79" s="7"/>
      <c r="R79" s="12"/>
    </row>
    <row r="80" spans="3:18" ht="14.4">
      <c r="C80" s="122">
        <v>46087</v>
      </c>
      <c r="D80" s="124"/>
      <c r="E80" s="112" t="s">
        <v>18</v>
      </c>
      <c r="F80" s="136"/>
      <c r="G80" s="136"/>
      <c r="H80" s="22" t="s">
        <v>440</v>
      </c>
      <c r="I80" s="55"/>
      <c r="J80" s="28"/>
      <c r="K80" s="7"/>
      <c r="L80" s="8"/>
      <c r="M80" s="21"/>
      <c r="N80" s="82"/>
      <c r="P80" s="6"/>
      <c r="Q80" s="7"/>
      <c r="R80" s="12"/>
    </row>
    <row r="81" spans="3:18" ht="14.4">
      <c r="C81" s="122">
        <v>46088</v>
      </c>
      <c r="D81" s="109"/>
      <c r="E81" s="112" t="s">
        <v>18</v>
      </c>
      <c r="F81" s="74"/>
      <c r="G81" s="74"/>
      <c r="H81" s="121" t="s">
        <v>452</v>
      </c>
      <c r="I81" s="55"/>
      <c r="J81" s="28"/>
      <c r="K81" s="7"/>
      <c r="L81" s="8"/>
      <c r="M81" s="21"/>
      <c r="N81" s="82"/>
      <c r="P81" s="6"/>
      <c r="Q81" s="7"/>
      <c r="R81" s="12"/>
    </row>
    <row r="82" spans="3:18" ht="14.4">
      <c r="C82" s="122">
        <v>46089</v>
      </c>
      <c r="D82" s="124"/>
      <c r="E82" s="15" t="s">
        <v>17</v>
      </c>
      <c r="F82" s="137"/>
      <c r="G82" s="137"/>
      <c r="H82" s="138" t="s">
        <v>453</v>
      </c>
      <c r="I82" s="55"/>
      <c r="J82" s="27"/>
      <c r="K82" s="7"/>
      <c r="L82" s="8"/>
      <c r="M82" s="23"/>
      <c r="N82" s="82"/>
      <c r="P82" s="6"/>
      <c r="Q82" s="7"/>
      <c r="R82" s="12"/>
    </row>
    <row r="83" spans="3:18" ht="14.4">
      <c r="C83" s="122">
        <v>46090</v>
      </c>
      <c r="D83" s="109"/>
      <c r="E83" s="15" t="s">
        <v>17</v>
      </c>
      <c r="F83" s="121"/>
      <c r="G83" s="121"/>
      <c r="H83" s="22" t="s">
        <v>454</v>
      </c>
      <c r="I83" s="55"/>
      <c r="J83" s="28"/>
      <c r="K83" s="7"/>
      <c r="L83" s="8"/>
      <c r="M83" s="21"/>
      <c r="N83" s="82"/>
      <c r="P83" s="6"/>
      <c r="Q83" s="7"/>
      <c r="R83" s="12"/>
    </row>
    <row r="84" spans="3:18" ht="14.4">
      <c r="C84" s="122">
        <v>46091</v>
      </c>
      <c r="D84" s="124"/>
      <c r="E84" s="112" t="s">
        <v>18</v>
      </c>
      <c r="F84" s="121"/>
      <c r="G84" s="121"/>
      <c r="H84" s="22" t="s">
        <v>466</v>
      </c>
      <c r="I84" s="55"/>
      <c r="J84" s="27"/>
      <c r="K84" s="7"/>
      <c r="L84" s="8"/>
      <c r="M84" s="21"/>
      <c r="N84" s="82"/>
      <c r="P84" s="6"/>
      <c r="Q84" s="7"/>
      <c r="R84" s="12"/>
    </row>
    <row r="85" spans="3:18" ht="14.4">
      <c r="C85" s="122">
        <v>46092</v>
      </c>
      <c r="D85" s="109"/>
      <c r="E85" s="112" t="s">
        <v>18</v>
      </c>
      <c r="F85" s="121"/>
      <c r="G85" s="121"/>
      <c r="H85" s="22" t="s">
        <v>466</v>
      </c>
      <c r="I85" s="55"/>
      <c r="J85" s="28"/>
      <c r="K85" s="7"/>
      <c r="L85" s="8"/>
      <c r="M85" s="21"/>
      <c r="N85" s="82"/>
      <c r="P85" s="6"/>
      <c r="Q85" s="7"/>
      <c r="R85" s="12"/>
    </row>
    <row r="86" spans="3:18" ht="14.4">
      <c r="C86" s="122">
        <v>46093</v>
      </c>
      <c r="D86" s="124"/>
      <c r="E86" s="112" t="s">
        <v>18</v>
      </c>
      <c r="F86" s="121"/>
      <c r="G86" s="121"/>
      <c r="H86" s="22" t="s">
        <v>466</v>
      </c>
      <c r="I86" s="55"/>
      <c r="J86" s="28"/>
      <c r="K86" s="7"/>
      <c r="L86" s="8"/>
      <c r="M86" s="21"/>
      <c r="N86" s="82"/>
    </row>
    <row r="87" spans="3:18" ht="15.75" customHeight="1">
      <c r="C87" s="122">
        <v>46094</v>
      </c>
      <c r="D87" s="109"/>
      <c r="E87" s="112" t="s">
        <v>18</v>
      </c>
      <c r="F87" s="121"/>
      <c r="G87" s="121"/>
      <c r="H87" s="22" t="s">
        <v>466</v>
      </c>
      <c r="I87" s="55"/>
      <c r="J87" s="28"/>
      <c r="K87" s="7"/>
      <c r="L87" s="8"/>
      <c r="M87" s="21"/>
      <c r="N87" s="82"/>
    </row>
    <row r="88" spans="3:18" ht="15.75" customHeight="1">
      <c r="C88" s="122">
        <v>46095</v>
      </c>
      <c r="D88" s="76"/>
      <c r="E88" s="112" t="s">
        <v>18</v>
      </c>
      <c r="F88" s="121"/>
      <c r="G88" s="121"/>
      <c r="H88" s="22" t="s">
        <v>466</v>
      </c>
      <c r="I88" s="55"/>
      <c r="J88" s="28"/>
      <c r="K88" s="7"/>
      <c r="L88" s="8"/>
      <c r="M88" s="21"/>
      <c r="N88" s="82"/>
    </row>
    <row r="89" spans="3:18" ht="15.75" customHeight="1">
      <c r="C89" s="122">
        <v>46096</v>
      </c>
      <c r="D89" s="109"/>
      <c r="E89" s="112" t="s">
        <v>18</v>
      </c>
      <c r="F89" s="121"/>
      <c r="G89" s="121"/>
      <c r="H89" s="22" t="s">
        <v>466</v>
      </c>
      <c r="I89" s="55"/>
      <c r="J89" s="28"/>
      <c r="K89" s="7"/>
      <c r="L89" s="8"/>
      <c r="M89" s="21"/>
      <c r="N89" s="82"/>
    </row>
    <row r="90" spans="3:18" ht="15.75" customHeight="1">
      <c r="C90" s="122">
        <v>46097</v>
      </c>
      <c r="D90" s="124"/>
      <c r="E90" s="112" t="s">
        <v>18</v>
      </c>
      <c r="F90" s="121"/>
      <c r="G90" s="121"/>
      <c r="H90" s="22" t="s">
        <v>466</v>
      </c>
      <c r="I90" s="55"/>
      <c r="J90" s="28"/>
      <c r="K90" s="7"/>
      <c r="L90" s="8"/>
      <c r="M90" s="21"/>
      <c r="N90" s="82"/>
    </row>
    <row r="91" spans="3:18" ht="15.75" customHeight="1">
      <c r="C91" s="122">
        <v>46098</v>
      </c>
      <c r="D91" s="109"/>
      <c r="E91" s="112" t="s">
        <v>18</v>
      </c>
      <c r="F91" s="121"/>
      <c r="G91" s="121"/>
      <c r="H91" s="22" t="s">
        <v>466</v>
      </c>
      <c r="I91" s="55"/>
      <c r="J91" s="28"/>
      <c r="K91" s="7"/>
      <c r="L91" s="8"/>
      <c r="M91" s="21"/>
      <c r="N91" s="82"/>
    </row>
    <row r="92" spans="3:18" ht="15.75" customHeight="1">
      <c r="C92" s="122">
        <v>46099</v>
      </c>
      <c r="D92" s="124"/>
      <c r="E92" s="112" t="s">
        <v>18</v>
      </c>
      <c r="F92" s="121"/>
      <c r="G92" s="121"/>
      <c r="H92" s="22" t="s">
        <v>466</v>
      </c>
      <c r="I92" s="55"/>
      <c r="J92" s="27"/>
      <c r="K92" s="7"/>
      <c r="L92" s="8"/>
      <c r="M92" s="21"/>
      <c r="N92" s="82"/>
    </row>
    <row r="93" spans="3:18" ht="15.75" customHeight="1">
      <c r="C93" s="122">
        <v>46100</v>
      </c>
      <c r="D93" s="76"/>
      <c r="E93" s="112" t="s">
        <v>18</v>
      </c>
      <c r="F93" s="121"/>
      <c r="G93" s="121"/>
      <c r="H93" s="22" t="s">
        <v>466</v>
      </c>
      <c r="I93" s="55"/>
      <c r="J93" s="28"/>
      <c r="K93" s="7"/>
      <c r="L93" s="8"/>
      <c r="M93" s="21"/>
      <c r="N93" s="82"/>
    </row>
    <row r="94" spans="3:18" ht="15.75" customHeight="1">
      <c r="C94" s="122">
        <v>46101</v>
      </c>
      <c r="D94" s="124"/>
      <c r="E94" s="112" t="s">
        <v>18</v>
      </c>
      <c r="F94" s="121"/>
      <c r="G94" s="121"/>
      <c r="H94" s="22" t="s">
        <v>466</v>
      </c>
      <c r="I94" s="55"/>
      <c r="J94" s="28"/>
      <c r="K94" s="7"/>
      <c r="L94" s="8"/>
      <c r="M94" s="21"/>
      <c r="N94" s="82"/>
    </row>
    <row r="95" spans="3:18" ht="15.75" customHeight="1">
      <c r="C95" s="122">
        <v>46102</v>
      </c>
      <c r="D95" s="109"/>
      <c r="E95" s="112" t="s">
        <v>18</v>
      </c>
      <c r="F95" s="121"/>
      <c r="G95" s="121"/>
      <c r="H95" s="22" t="s">
        <v>466</v>
      </c>
      <c r="I95" s="55"/>
      <c r="J95" s="28"/>
      <c r="K95" s="7"/>
      <c r="L95" s="8"/>
      <c r="M95" s="21"/>
      <c r="N95" s="82"/>
    </row>
    <row r="96" spans="3:18" ht="15.75" customHeight="1">
      <c r="C96" s="122">
        <v>46103</v>
      </c>
      <c r="D96" s="124"/>
      <c r="E96" s="112" t="s">
        <v>18</v>
      </c>
      <c r="F96" s="121"/>
      <c r="G96" s="121"/>
      <c r="H96" s="22" t="s">
        <v>466</v>
      </c>
      <c r="I96" s="55"/>
      <c r="J96" s="28"/>
      <c r="K96" s="7"/>
      <c r="L96" s="8"/>
      <c r="M96" s="21"/>
      <c r="N96" s="21"/>
    </row>
    <row r="97" spans="3:14" ht="15.75" customHeight="1">
      <c r="C97" s="122">
        <v>46104</v>
      </c>
      <c r="D97" s="109"/>
      <c r="E97" s="112" t="s">
        <v>18</v>
      </c>
      <c r="F97" s="121"/>
      <c r="G97" s="121"/>
      <c r="H97" s="22" t="s">
        <v>466</v>
      </c>
      <c r="I97" s="55"/>
      <c r="J97" s="27"/>
      <c r="K97" s="7"/>
      <c r="L97" s="8"/>
      <c r="M97" s="21"/>
      <c r="N97" s="21"/>
    </row>
    <row r="98" spans="3:14" ht="15.75" customHeight="1">
      <c r="C98" s="122">
        <v>46105</v>
      </c>
      <c r="D98" s="124"/>
      <c r="E98" s="112" t="s">
        <v>18</v>
      </c>
      <c r="F98" s="121"/>
      <c r="G98" s="121"/>
      <c r="H98" s="22" t="s">
        <v>466</v>
      </c>
      <c r="I98" s="55"/>
      <c r="J98" s="28"/>
      <c r="K98" s="7"/>
      <c r="L98" s="8"/>
      <c r="M98" s="21"/>
      <c r="N98" s="21"/>
    </row>
    <row r="99" spans="3:14" ht="15.75" customHeight="1">
      <c r="C99" s="122">
        <v>46106</v>
      </c>
      <c r="D99" s="109"/>
      <c r="E99" s="112" t="s">
        <v>18</v>
      </c>
      <c r="F99" s="121"/>
      <c r="G99" s="121"/>
      <c r="H99" s="22" t="s">
        <v>466</v>
      </c>
      <c r="I99" s="55"/>
      <c r="J99" s="28"/>
      <c r="K99" s="7"/>
      <c r="L99" s="8"/>
      <c r="M99" s="21"/>
      <c r="N99" s="21"/>
    </row>
    <row r="100" spans="3:14" ht="15.75" customHeight="1">
      <c r="C100" s="122">
        <v>46107</v>
      </c>
      <c r="D100" s="124"/>
      <c r="E100" s="112" t="s">
        <v>18</v>
      </c>
      <c r="F100" s="121"/>
      <c r="G100" s="121"/>
      <c r="H100" s="22" t="s">
        <v>466</v>
      </c>
      <c r="I100" s="55"/>
      <c r="J100" s="28"/>
      <c r="K100" s="7"/>
      <c r="L100" s="8"/>
      <c r="M100" s="21"/>
      <c r="N100" s="21"/>
    </row>
    <row r="101" spans="3:14" ht="15.75" customHeight="1">
      <c r="C101" s="122">
        <v>46108</v>
      </c>
      <c r="D101" s="109"/>
      <c r="E101" s="112" t="s">
        <v>18</v>
      </c>
      <c r="F101" s="121"/>
      <c r="G101" s="121"/>
      <c r="H101" s="22" t="s">
        <v>466</v>
      </c>
      <c r="I101" s="55"/>
      <c r="J101" s="28"/>
      <c r="K101" s="7"/>
      <c r="L101" s="8"/>
      <c r="M101" s="21"/>
      <c r="N101" s="21"/>
    </row>
    <row r="102" spans="3:14" ht="15.75" customHeight="1">
      <c r="C102" s="122">
        <v>46109</v>
      </c>
      <c r="D102" s="109"/>
      <c r="E102" s="112" t="s">
        <v>18</v>
      </c>
      <c r="F102" s="121"/>
      <c r="G102" s="121"/>
      <c r="H102" s="22" t="s">
        <v>466</v>
      </c>
      <c r="I102" s="55"/>
      <c r="J102" s="28"/>
      <c r="K102" s="7"/>
      <c r="L102" s="8"/>
      <c r="M102" s="21"/>
      <c r="N102" s="21"/>
    </row>
    <row r="103" spans="3:14" ht="15.75" customHeight="1">
      <c r="C103" s="122">
        <v>46110</v>
      </c>
      <c r="D103" s="109"/>
      <c r="E103" s="112" t="s">
        <v>18</v>
      </c>
      <c r="F103" s="121"/>
      <c r="G103" s="121"/>
      <c r="H103" s="22" t="s">
        <v>466</v>
      </c>
      <c r="I103" s="55"/>
      <c r="J103" s="28"/>
      <c r="K103" s="7"/>
      <c r="L103" s="8"/>
      <c r="M103" s="21"/>
      <c r="N103" s="21"/>
    </row>
    <row r="104" spans="3:14" ht="15.75" customHeight="1">
      <c r="C104" s="122">
        <v>46111</v>
      </c>
      <c r="D104" s="109"/>
      <c r="E104" s="112" t="s">
        <v>18</v>
      </c>
      <c r="F104" s="121"/>
      <c r="G104" s="121"/>
      <c r="H104" s="22" t="s">
        <v>466</v>
      </c>
      <c r="I104" s="55"/>
      <c r="J104" s="28"/>
      <c r="K104" s="7"/>
      <c r="L104" s="8"/>
      <c r="M104" s="21"/>
      <c r="N104" s="21"/>
    </row>
    <row r="105" spans="3:14" ht="15.75" customHeight="1">
      <c r="C105" s="122">
        <v>46112</v>
      </c>
      <c r="D105" s="124"/>
      <c r="E105" s="112" t="s">
        <v>18</v>
      </c>
      <c r="F105" s="121"/>
      <c r="G105" s="121"/>
      <c r="H105" s="22" t="s">
        <v>466</v>
      </c>
      <c r="I105" s="55"/>
      <c r="J105" s="28"/>
      <c r="K105" s="7"/>
      <c r="L105" s="8"/>
      <c r="M105" s="21"/>
      <c r="N105" s="21"/>
    </row>
    <row r="106" spans="3:14" ht="15.75" customHeight="1">
      <c r="C106" s="122">
        <v>46113</v>
      </c>
      <c r="E106" s="112" t="s">
        <v>18</v>
      </c>
      <c r="H106" s="22" t="s">
        <v>466</v>
      </c>
      <c r="K106" s="2"/>
      <c r="L106" s="2"/>
    </row>
    <row r="107" spans="3:14" ht="15.75" customHeight="1">
      <c r="C107" s="122">
        <v>46114</v>
      </c>
      <c r="E107" s="112" t="s">
        <v>18</v>
      </c>
      <c r="H107" s="22" t="s">
        <v>466</v>
      </c>
      <c r="K107" s="2"/>
      <c r="L107" s="2"/>
    </row>
    <row r="108" spans="3:14" ht="15.75" customHeight="1">
      <c r="C108" s="122">
        <v>46115</v>
      </c>
      <c r="E108" s="112" t="s">
        <v>18</v>
      </c>
      <c r="H108" s="22" t="s">
        <v>466</v>
      </c>
      <c r="K108" s="2"/>
      <c r="L108" s="2"/>
    </row>
    <row r="109" spans="3:14" ht="15.75" customHeight="1">
      <c r="C109" s="122">
        <v>46116</v>
      </c>
      <c r="E109" s="112" t="s">
        <v>18</v>
      </c>
      <c r="H109" s="22" t="s">
        <v>466</v>
      </c>
      <c r="K109" s="2"/>
      <c r="L109" s="2"/>
    </row>
    <row r="110" spans="3:14" ht="15.75" customHeight="1">
      <c r="C110" s="122">
        <v>46117</v>
      </c>
      <c r="E110" s="112" t="s">
        <v>18</v>
      </c>
      <c r="H110" s="22" t="s">
        <v>466</v>
      </c>
      <c r="K110" s="2"/>
      <c r="L110" s="2"/>
    </row>
    <row r="111" spans="3:14" ht="15.75" customHeight="1">
      <c r="C111" s="122">
        <v>46118</v>
      </c>
      <c r="E111" s="112" t="s">
        <v>18</v>
      </c>
      <c r="H111" s="22" t="s">
        <v>466</v>
      </c>
      <c r="K111" s="2"/>
      <c r="L111" s="2"/>
    </row>
    <row r="112" spans="3:14" ht="15.75" customHeight="1">
      <c r="C112" s="122">
        <v>46119</v>
      </c>
      <c r="E112" s="112" t="s">
        <v>18</v>
      </c>
      <c r="H112" s="22" t="s">
        <v>466</v>
      </c>
      <c r="K112" s="2"/>
      <c r="L112" s="2"/>
    </row>
    <row r="113" spans="3:12" ht="15.75" customHeight="1">
      <c r="C113" s="122">
        <v>46120</v>
      </c>
      <c r="E113" s="112" t="s">
        <v>18</v>
      </c>
      <c r="H113" s="22" t="s">
        <v>324</v>
      </c>
      <c r="K113" s="2"/>
      <c r="L113" s="2"/>
    </row>
    <row r="114" spans="3:12" ht="15.75" customHeight="1">
      <c r="C114" s="122">
        <v>46121</v>
      </c>
      <c r="E114" s="112" t="s">
        <v>18</v>
      </c>
      <c r="H114" s="22" t="s">
        <v>324</v>
      </c>
      <c r="K114" s="2"/>
      <c r="L114" s="2"/>
    </row>
    <row r="115" spans="3:12" ht="15.75" customHeight="1">
      <c r="C115" s="122">
        <v>46122</v>
      </c>
      <c r="E115" s="15" t="s">
        <v>17</v>
      </c>
      <c r="H115" s="22" t="s">
        <v>433</v>
      </c>
      <c r="K115" s="2"/>
      <c r="L115" s="2"/>
    </row>
    <row r="116" spans="3:12" ht="15.75" customHeight="1">
      <c r="C116" s="122">
        <v>46123</v>
      </c>
      <c r="E116" s="15" t="s">
        <v>17</v>
      </c>
      <c r="H116" s="22" t="s">
        <v>433</v>
      </c>
      <c r="K116" s="2"/>
      <c r="L116" s="2"/>
    </row>
    <row r="117" spans="3:12" ht="15.75" customHeight="1">
      <c r="C117" s="122">
        <v>46124</v>
      </c>
      <c r="E117" s="112" t="s">
        <v>18</v>
      </c>
      <c r="H117" s="22" t="s">
        <v>324</v>
      </c>
      <c r="K117" s="2"/>
      <c r="L117" s="2"/>
    </row>
    <row r="118" spans="3:12" ht="15.75" customHeight="1">
      <c r="C118" s="122">
        <v>46125</v>
      </c>
      <c r="E118" s="112" t="s">
        <v>18</v>
      </c>
      <c r="H118" s="22" t="s">
        <v>324</v>
      </c>
      <c r="K118" s="2"/>
      <c r="L118" s="2"/>
    </row>
    <row r="119" spans="3:12" ht="15.75" customHeight="1">
      <c r="C119" s="122">
        <v>46126</v>
      </c>
      <c r="E119" s="112" t="s">
        <v>18</v>
      </c>
      <c r="H119" s="22" t="s">
        <v>324</v>
      </c>
      <c r="K119" s="2"/>
      <c r="L119" s="2"/>
    </row>
    <row r="120" spans="3:12" ht="15.75" customHeight="1">
      <c r="C120" s="122">
        <v>46127</v>
      </c>
      <c r="E120" s="112" t="s">
        <v>18</v>
      </c>
      <c r="H120" s="22" t="s">
        <v>324</v>
      </c>
      <c r="K120" s="2"/>
      <c r="L120" s="2"/>
    </row>
    <row r="121" spans="3:12" ht="15.75" customHeight="1">
      <c r="C121" s="122">
        <v>46128</v>
      </c>
      <c r="E121" s="112" t="s">
        <v>18</v>
      </c>
      <c r="H121" s="22" t="s">
        <v>324</v>
      </c>
      <c r="K121" s="2"/>
      <c r="L121" s="2"/>
    </row>
    <row r="122" spans="3:12" ht="15.75" customHeight="1">
      <c r="C122" s="122">
        <v>46129</v>
      </c>
      <c r="E122" s="112" t="s">
        <v>18</v>
      </c>
      <c r="H122" s="22" t="s">
        <v>324</v>
      </c>
      <c r="K122" s="2"/>
      <c r="L122" s="2"/>
    </row>
    <row r="123" spans="3:12" ht="15.75" customHeight="1">
      <c r="C123" s="122">
        <v>46130</v>
      </c>
      <c r="E123" s="112" t="s">
        <v>18</v>
      </c>
      <c r="H123" s="22" t="s">
        <v>324</v>
      </c>
      <c r="K123" s="2"/>
      <c r="L123" s="2"/>
    </row>
    <row r="124" spans="3:12" ht="15.75" customHeight="1">
      <c r="C124" s="122">
        <v>46131</v>
      </c>
      <c r="E124" s="112" t="s">
        <v>18</v>
      </c>
      <c r="H124" s="22" t="s">
        <v>324</v>
      </c>
      <c r="K124" s="2"/>
      <c r="L124" s="2"/>
    </row>
    <row r="125" spans="3:12" ht="15.75" customHeight="1">
      <c r="C125" s="122">
        <v>46132</v>
      </c>
      <c r="E125" s="112" t="s">
        <v>18</v>
      </c>
      <c r="H125" s="22" t="s">
        <v>324</v>
      </c>
      <c r="K125" s="2"/>
      <c r="L125" s="2"/>
    </row>
    <row r="126" spans="3:12" ht="15.75" customHeight="1">
      <c r="C126" s="122">
        <v>46133</v>
      </c>
      <c r="E126" s="112" t="s">
        <v>18</v>
      </c>
      <c r="H126" s="22" t="s">
        <v>324</v>
      </c>
      <c r="K126" s="2"/>
      <c r="L126" s="2"/>
    </row>
    <row r="127" spans="3:12" ht="15.75" customHeight="1">
      <c r="C127" s="122">
        <v>46134</v>
      </c>
      <c r="E127" s="112" t="s">
        <v>18</v>
      </c>
      <c r="H127" s="22" t="s">
        <v>324</v>
      </c>
      <c r="K127" s="2"/>
      <c r="L127" s="2"/>
    </row>
    <row r="128" spans="3:12" ht="15.75" customHeight="1">
      <c r="C128" s="122">
        <v>46135</v>
      </c>
      <c r="E128" s="112" t="s">
        <v>18</v>
      </c>
      <c r="H128" s="22" t="s">
        <v>324</v>
      </c>
      <c r="K128" s="2"/>
      <c r="L128" s="2"/>
    </row>
    <row r="129" spans="3:12" ht="15.75" customHeight="1">
      <c r="C129" s="122">
        <v>46136</v>
      </c>
      <c r="E129" s="112" t="s">
        <v>18</v>
      </c>
      <c r="H129" s="22" t="s">
        <v>324</v>
      </c>
      <c r="K129" s="2"/>
      <c r="L129" s="2"/>
    </row>
    <row r="130" spans="3:12" ht="15.75" customHeight="1">
      <c r="C130" s="122">
        <v>46137</v>
      </c>
      <c r="E130" s="112" t="s">
        <v>18</v>
      </c>
      <c r="H130" s="22" t="s">
        <v>324</v>
      </c>
      <c r="K130" s="2"/>
      <c r="L130" s="2"/>
    </row>
    <row r="131" spans="3:12" ht="15.75" customHeight="1">
      <c r="C131" s="122">
        <v>46138</v>
      </c>
      <c r="E131" s="112" t="s">
        <v>18</v>
      </c>
      <c r="H131" s="22" t="s">
        <v>324</v>
      </c>
      <c r="K131" s="2"/>
      <c r="L131" s="2"/>
    </row>
    <row r="132" spans="3:12" ht="15.75" customHeight="1">
      <c r="C132" s="13"/>
      <c r="K132" s="2"/>
      <c r="L132" s="2"/>
    </row>
    <row r="133" spans="3:12" ht="15.75" customHeight="1">
      <c r="C133" s="13"/>
      <c r="K133" s="2"/>
      <c r="L133" s="2"/>
    </row>
    <row r="134" spans="3:12" ht="15.75" customHeight="1">
      <c r="C134" s="13"/>
      <c r="K134" s="2"/>
      <c r="L134" s="2"/>
    </row>
    <row r="135" spans="3:12" ht="15.75" customHeight="1">
      <c r="C135" s="13"/>
      <c r="K135" s="2"/>
      <c r="L135" s="2"/>
    </row>
    <row r="136" spans="3:12" ht="15.75" customHeight="1">
      <c r="C136" s="13"/>
      <c r="K136" s="2"/>
      <c r="L136" s="2"/>
    </row>
    <row r="137" spans="3:12" ht="15.75" customHeight="1">
      <c r="C137" s="13"/>
      <c r="K137" s="2"/>
      <c r="L137" s="2"/>
    </row>
    <row r="138" spans="3:12" ht="15.75" customHeight="1">
      <c r="C138" s="13"/>
      <c r="K138" s="2"/>
      <c r="L138" s="2"/>
    </row>
    <row r="139" spans="3:12" ht="15.75" customHeight="1">
      <c r="C139" s="13"/>
      <c r="K139" s="2"/>
      <c r="L139" s="2"/>
    </row>
    <row r="140" spans="3:12" ht="15.75" customHeight="1">
      <c r="C140" s="13"/>
      <c r="K140" s="2"/>
      <c r="L140" s="2"/>
    </row>
    <row r="141" spans="3:12" ht="15.75" customHeight="1">
      <c r="C141" s="13"/>
      <c r="K141" s="2"/>
      <c r="L141" s="2"/>
    </row>
    <row r="142" spans="3:12" ht="15.75" customHeight="1">
      <c r="C142" s="13"/>
      <c r="K142" s="2"/>
      <c r="L142" s="2"/>
    </row>
    <row r="143" spans="3:12" ht="15.75" customHeight="1">
      <c r="C143" s="13"/>
      <c r="K143" s="2"/>
      <c r="L143" s="2"/>
    </row>
    <row r="144" spans="3:12" ht="15.75" customHeight="1">
      <c r="C144" s="13"/>
      <c r="K144" s="2"/>
      <c r="L144" s="2"/>
    </row>
    <row r="145" spans="3:12" ht="15.75" customHeight="1">
      <c r="C145" s="13"/>
      <c r="K145" s="2"/>
      <c r="L145" s="2"/>
    </row>
    <row r="146" spans="3:12" ht="15.75" customHeight="1">
      <c r="C146" s="13"/>
      <c r="K146" s="2"/>
      <c r="L146" s="2"/>
    </row>
    <row r="147" spans="3:12" ht="15.75" customHeight="1">
      <c r="C147" s="13"/>
      <c r="K147" s="2"/>
      <c r="L147" s="2"/>
    </row>
    <row r="148" spans="3:12" ht="15.75" customHeight="1">
      <c r="C148" s="13"/>
      <c r="K148" s="2"/>
      <c r="L148" s="2"/>
    </row>
    <row r="149" spans="3:12" ht="15.75" customHeight="1">
      <c r="C149" s="13"/>
      <c r="K149" s="2"/>
      <c r="L149" s="2"/>
    </row>
    <row r="150" spans="3:12" ht="15.75" customHeight="1">
      <c r="C150" s="13"/>
      <c r="K150" s="2"/>
      <c r="L150" s="2"/>
    </row>
    <row r="151" spans="3:12" ht="15.75" customHeight="1">
      <c r="C151" s="13"/>
      <c r="K151" s="2"/>
      <c r="L151" s="2"/>
    </row>
    <row r="152" spans="3:12" ht="15.75" customHeight="1">
      <c r="C152" s="13"/>
      <c r="K152" s="2"/>
      <c r="L152" s="2"/>
    </row>
    <row r="153" spans="3:12" ht="15.75" customHeight="1">
      <c r="C153" s="13"/>
      <c r="K153" s="2"/>
      <c r="L153" s="2"/>
    </row>
    <row r="154" spans="3:12" ht="15.75" customHeight="1">
      <c r="C154" s="13"/>
      <c r="K154" s="2"/>
      <c r="L154" s="2"/>
    </row>
    <row r="155" spans="3:12" ht="15.75" customHeight="1">
      <c r="C155" s="13"/>
      <c r="K155" s="2"/>
      <c r="L155" s="2"/>
    </row>
    <row r="156" spans="3:12" ht="15.75" customHeight="1">
      <c r="C156" s="13"/>
      <c r="K156" s="2"/>
      <c r="L156" s="2"/>
    </row>
    <row r="157" spans="3:12" ht="15.75" customHeight="1">
      <c r="C157" s="13"/>
      <c r="K157" s="2"/>
      <c r="L157" s="2"/>
    </row>
    <row r="158" spans="3:12" ht="15.75" customHeight="1">
      <c r="C158" s="13"/>
      <c r="K158" s="2"/>
      <c r="L158" s="2"/>
    </row>
    <row r="159" spans="3:12" ht="15.75" customHeight="1">
      <c r="C159" s="13"/>
      <c r="K159" s="2"/>
      <c r="L159" s="2"/>
    </row>
    <row r="160" spans="3:12" ht="15.75" customHeight="1">
      <c r="C160" s="13"/>
      <c r="K160" s="2"/>
      <c r="L160" s="2"/>
    </row>
    <row r="161" spans="3:12" ht="15.75" customHeight="1">
      <c r="C161" s="13"/>
      <c r="K161" s="2"/>
      <c r="L161" s="2"/>
    </row>
    <row r="162" spans="3:12" ht="15.75" customHeight="1">
      <c r="C162" s="13"/>
      <c r="K162" s="2"/>
      <c r="L162" s="2"/>
    </row>
    <row r="163" spans="3:12" ht="15.75" customHeight="1">
      <c r="C163" s="13"/>
      <c r="K163" s="2"/>
      <c r="L163" s="2"/>
    </row>
    <row r="164" spans="3:12" ht="15.75" customHeight="1">
      <c r="C164" s="13"/>
      <c r="K164" s="2"/>
      <c r="L164" s="2"/>
    </row>
    <row r="165" spans="3:12" ht="15.75" customHeight="1">
      <c r="C165" s="13"/>
      <c r="K165" s="2"/>
      <c r="L165" s="2"/>
    </row>
    <row r="166" spans="3:12" ht="15.75" customHeight="1">
      <c r="C166" s="13"/>
      <c r="K166" s="2"/>
      <c r="L166" s="2"/>
    </row>
    <row r="167" spans="3:12" ht="15.75" customHeight="1">
      <c r="C167" s="13"/>
      <c r="K167" s="2"/>
      <c r="L167" s="2"/>
    </row>
    <row r="168" spans="3:12" ht="15.75" customHeight="1">
      <c r="C168" s="13"/>
      <c r="K168" s="2"/>
      <c r="L168" s="2"/>
    </row>
    <row r="169" spans="3:12" ht="15.75" customHeight="1">
      <c r="C169" s="13"/>
      <c r="K169" s="2"/>
      <c r="L169" s="2"/>
    </row>
    <row r="170" spans="3:12" ht="15.75" customHeight="1">
      <c r="C170" s="13"/>
      <c r="K170" s="2"/>
      <c r="L170" s="2"/>
    </row>
    <row r="171" spans="3:12" ht="15.75" customHeight="1">
      <c r="C171" s="13"/>
      <c r="K171" s="2"/>
      <c r="L171" s="2"/>
    </row>
    <row r="172" spans="3:12" ht="15.75" customHeight="1">
      <c r="C172" s="13"/>
      <c r="K172" s="2"/>
      <c r="L172" s="2"/>
    </row>
    <row r="173" spans="3:12" ht="15.75" customHeight="1">
      <c r="C173" s="13"/>
      <c r="K173" s="2"/>
      <c r="L173" s="2"/>
    </row>
    <row r="174" spans="3:12" ht="15.75" customHeight="1">
      <c r="C174" s="13"/>
      <c r="K174" s="2"/>
      <c r="L174" s="2"/>
    </row>
    <row r="175" spans="3:12" ht="15.75" customHeight="1">
      <c r="C175" s="13"/>
      <c r="K175" s="2"/>
      <c r="L175" s="2"/>
    </row>
    <row r="176" spans="3:12" ht="15.75" customHeight="1">
      <c r="C176" s="13"/>
      <c r="K176" s="2"/>
      <c r="L176" s="2"/>
    </row>
    <row r="177" spans="3:12" ht="15.75" customHeight="1">
      <c r="C177" s="13"/>
      <c r="K177" s="2"/>
      <c r="L177" s="2"/>
    </row>
    <row r="178" spans="3:12" ht="15.75" customHeight="1">
      <c r="C178" s="13"/>
      <c r="K178" s="2"/>
      <c r="L178" s="2"/>
    </row>
    <row r="179" spans="3:12" ht="15.75" customHeight="1">
      <c r="C179" s="13"/>
      <c r="K179" s="2"/>
      <c r="L179" s="2"/>
    </row>
    <row r="180" spans="3:12" ht="15.75" customHeight="1">
      <c r="C180" s="13"/>
      <c r="K180" s="2"/>
      <c r="L180" s="2"/>
    </row>
    <row r="181" spans="3:12" ht="15.75" customHeight="1">
      <c r="C181" s="13"/>
      <c r="K181" s="2"/>
      <c r="L181" s="2"/>
    </row>
    <row r="182" spans="3:12" ht="15.75" customHeight="1">
      <c r="C182" s="13"/>
      <c r="K182" s="2"/>
      <c r="L182" s="2"/>
    </row>
    <row r="183" spans="3:12" ht="15.75" customHeight="1">
      <c r="C183" s="13"/>
      <c r="K183" s="2"/>
      <c r="L183" s="2"/>
    </row>
    <row r="184" spans="3:12" ht="15.75" customHeight="1">
      <c r="C184" s="13"/>
      <c r="K184" s="2"/>
      <c r="L184" s="2"/>
    </row>
    <row r="185" spans="3:12" ht="15.75" customHeight="1">
      <c r="C185" s="13"/>
      <c r="K185" s="2"/>
      <c r="L185" s="2"/>
    </row>
    <row r="186" spans="3:12" ht="15.75" customHeight="1">
      <c r="C186" s="13"/>
      <c r="K186" s="2"/>
      <c r="L186" s="2"/>
    </row>
    <row r="187" spans="3:12" ht="15.75" customHeight="1">
      <c r="C187" s="13"/>
      <c r="K187" s="2"/>
      <c r="L187" s="2"/>
    </row>
    <row r="188" spans="3:12" ht="15.75" customHeight="1">
      <c r="C188" s="13"/>
      <c r="K188" s="2"/>
      <c r="L188" s="2"/>
    </row>
    <row r="189" spans="3:12" ht="15.75" customHeight="1">
      <c r="C189" s="13"/>
      <c r="K189" s="2"/>
      <c r="L189" s="2"/>
    </row>
    <row r="190" spans="3:12" ht="15.75" customHeight="1">
      <c r="C190" s="13"/>
      <c r="K190" s="2"/>
      <c r="L190" s="2"/>
    </row>
    <row r="191" spans="3:12" ht="15.75" customHeight="1">
      <c r="C191" s="13"/>
      <c r="K191" s="2"/>
      <c r="L191" s="2"/>
    </row>
    <row r="192" spans="3:12" ht="15.75" customHeight="1">
      <c r="C192" s="13"/>
      <c r="K192" s="2"/>
      <c r="L192" s="2"/>
    </row>
    <row r="193" spans="3:12" ht="15.75" customHeight="1">
      <c r="C193" s="13"/>
      <c r="K193" s="2"/>
      <c r="L193" s="2"/>
    </row>
    <row r="194" spans="3:12" ht="15.75" customHeight="1">
      <c r="C194" s="13"/>
      <c r="K194" s="2"/>
      <c r="L194" s="2"/>
    </row>
    <row r="195" spans="3:12" ht="15.75" customHeight="1">
      <c r="C195" s="13"/>
      <c r="K195" s="2"/>
      <c r="L195" s="2"/>
    </row>
    <row r="196" spans="3:12" ht="15.75" customHeight="1">
      <c r="C196" s="13"/>
      <c r="K196" s="2"/>
      <c r="L196" s="2"/>
    </row>
    <row r="197" spans="3:12" ht="15.75" customHeight="1">
      <c r="C197" s="13"/>
      <c r="K197" s="2"/>
      <c r="L197" s="2"/>
    </row>
    <row r="198" spans="3:12" ht="15.75" customHeight="1">
      <c r="C198" s="13"/>
      <c r="K198" s="2"/>
      <c r="L198" s="2"/>
    </row>
    <row r="199" spans="3:12" ht="15.75" customHeight="1">
      <c r="C199" s="13"/>
      <c r="K199" s="2"/>
      <c r="L199" s="2"/>
    </row>
    <row r="200" spans="3:12" ht="15.75" customHeight="1">
      <c r="C200" s="13"/>
      <c r="K200" s="2"/>
      <c r="L200" s="2"/>
    </row>
    <row r="201" spans="3:12" ht="15.75" customHeight="1">
      <c r="C201" s="13"/>
      <c r="K201" s="2"/>
      <c r="L201" s="2"/>
    </row>
    <row r="202" spans="3:12" ht="15.75" customHeight="1">
      <c r="C202" s="13"/>
      <c r="K202" s="2"/>
      <c r="L202" s="2"/>
    </row>
    <row r="203" spans="3:12" ht="15.75" customHeight="1">
      <c r="C203" s="13"/>
      <c r="K203" s="2"/>
      <c r="L203" s="2"/>
    </row>
    <row r="204" spans="3:12" ht="15.75" customHeight="1">
      <c r="C204" s="13"/>
      <c r="K204" s="2"/>
      <c r="L204" s="2"/>
    </row>
    <row r="205" spans="3:12" ht="15.75" customHeight="1">
      <c r="C205" s="13"/>
      <c r="K205" s="2"/>
      <c r="L205" s="2"/>
    </row>
    <row r="206" spans="3:12" ht="15.75" customHeight="1">
      <c r="C206" s="13"/>
      <c r="K206" s="2"/>
      <c r="L206" s="2"/>
    </row>
    <row r="207" spans="3:12" ht="15.75" customHeight="1">
      <c r="C207" s="13"/>
      <c r="K207" s="2"/>
      <c r="L207" s="2"/>
    </row>
    <row r="208" spans="3:12" ht="15.75" customHeight="1">
      <c r="C208" s="13"/>
      <c r="K208" s="2"/>
      <c r="L208" s="2"/>
    </row>
    <row r="209" spans="3:12" ht="15.75" customHeight="1">
      <c r="C209" s="13"/>
      <c r="K209" s="2"/>
      <c r="L209" s="2"/>
    </row>
    <row r="210" spans="3:12" ht="15.75" customHeight="1">
      <c r="C210" s="13"/>
      <c r="K210" s="2"/>
      <c r="L210" s="2"/>
    </row>
    <row r="211" spans="3:12" ht="15.75" customHeight="1">
      <c r="C211" s="13"/>
      <c r="K211" s="2"/>
      <c r="L211" s="2"/>
    </row>
    <row r="212" spans="3:12" ht="15.75" customHeight="1">
      <c r="C212" s="13"/>
      <c r="K212" s="2"/>
      <c r="L212" s="2"/>
    </row>
    <row r="213" spans="3:12" ht="15.75" customHeight="1">
      <c r="C213" s="13"/>
      <c r="K213" s="2"/>
      <c r="L213" s="2"/>
    </row>
    <row r="214" spans="3:12" ht="15.75" customHeight="1">
      <c r="C214" s="13"/>
      <c r="K214" s="2"/>
      <c r="L214" s="2"/>
    </row>
    <row r="215" spans="3:12" ht="15.75" customHeight="1">
      <c r="C215" s="13"/>
      <c r="K215" s="2"/>
      <c r="L215" s="2"/>
    </row>
    <row r="216" spans="3:12" ht="15.75" customHeight="1">
      <c r="C216" s="13"/>
      <c r="K216" s="2"/>
      <c r="L216" s="2"/>
    </row>
    <row r="217" spans="3:12" ht="15.75" customHeight="1">
      <c r="C217" s="13"/>
      <c r="K217" s="2"/>
      <c r="L217" s="2"/>
    </row>
    <row r="218" spans="3:12" ht="15.75" customHeight="1">
      <c r="C218" s="13"/>
      <c r="K218" s="2"/>
      <c r="L218" s="2"/>
    </row>
    <row r="219" spans="3:12" ht="15.75" customHeight="1">
      <c r="C219" s="13"/>
      <c r="K219" s="2"/>
      <c r="L219" s="2"/>
    </row>
    <row r="220" spans="3:12" ht="15.75" customHeight="1">
      <c r="C220" s="13"/>
      <c r="K220" s="2"/>
      <c r="L220" s="2"/>
    </row>
    <row r="221" spans="3:12" ht="15.75" customHeight="1">
      <c r="C221" s="13"/>
      <c r="K221" s="2"/>
      <c r="L221" s="2"/>
    </row>
    <row r="222" spans="3:12" ht="15.75" customHeight="1">
      <c r="C222" s="13"/>
      <c r="K222" s="2"/>
      <c r="L222" s="2"/>
    </row>
    <row r="223" spans="3:12" ht="15.75" customHeight="1">
      <c r="C223" s="13"/>
      <c r="K223" s="2"/>
      <c r="L223" s="2"/>
    </row>
    <row r="224" spans="3:12" ht="15.75" customHeight="1">
      <c r="C224" s="13"/>
      <c r="K224" s="2"/>
      <c r="L224" s="2"/>
    </row>
    <row r="225" spans="3:12" ht="15.75" customHeight="1">
      <c r="C225" s="13"/>
      <c r="K225" s="2"/>
      <c r="L225" s="2"/>
    </row>
    <row r="226" spans="3:12" ht="15.75" customHeight="1">
      <c r="C226" s="13"/>
      <c r="K226" s="2"/>
      <c r="L226" s="2"/>
    </row>
    <row r="227" spans="3:12" ht="15.75" customHeight="1">
      <c r="C227" s="13"/>
      <c r="K227" s="2"/>
      <c r="L227" s="2"/>
    </row>
    <row r="228" spans="3:12" ht="15.75" customHeight="1">
      <c r="C228" s="13"/>
      <c r="K228" s="2"/>
      <c r="L228" s="2"/>
    </row>
    <row r="229" spans="3:12" ht="15.75" customHeight="1">
      <c r="C229" s="13"/>
      <c r="K229" s="2"/>
      <c r="L229" s="2"/>
    </row>
    <row r="230" spans="3:12" ht="15.75" customHeight="1">
      <c r="C230" s="13"/>
      <c r="K230" s="2"/>
      <c r="L230" s="2"/>
    </row>
    <row r="231" spans="3:12" ht="15.75" customHeight="1">
      <c r="C231" s="13"/>
      <c r="K231" s="2"/>
      <c r="L231" s="2"/>
    </row>
    <row r="232" spans="3:12" ht="15.75" customHeight="1">
      <c r="C232" s="13"/>
      <c r="K232" s="2"/>
      <c r="L232" s="2"/>
    </row>
    <row r="233" spans="3:12" ht="15.75" customHeight="1">
      <c r="C233" s="13"/>
      <c r="K233" s="2"/>
      <c r="L233" s="2"/>
    </row>
    <row r="234" spans="3:12" ht="15.75" customHeight="1">
      <c r="C234" s="13"/>
      <c r="K234" s="2"/>
      <c r="L234" s="2"/>
    </row>
    <row r="235" spans="3:12" ht="15.75" customHeight="1">
      <c r="C235" s="13"/>
      <c r="K235" s="2"/>
      <c r="L235" s="2"/>
    </row>
    <row r="236" spans="3:12" ht="15.75" customHeight="1">
      <c r="C236" s="13"/>
      <c r="K236" s="2"/>
      <c r="L236" s="2"/>
    </row>
    <row r="237" spans="3:12" ht="15.75" customHeight="1">
      <c r="C237" s="13"/>
      <c r="K237" s="2"/>
      <c r="L237" s="2"/>
    </row>
    <row r="238" spans="3:12" ht="15.75" customHeight="1">
      <c r="C238" s="13"/>
      <c r="K238" s="2"/>
      <c r="L238" s="2"/>
    </row>
    <row r="239" spans="3:12" ht="15.75" customHeight="1">
      <c r="C239" s="13"/>
      <c r="K239" s="2"/>
      <c r="L239" s="2"/>
    </row>
    <row r="240" spans="3:12" ht="15.75" customHeight="1">
      <c r="C240" s="13"/>
      <c r="K240" s="2"/>
      <c r="L240" s="2"/>
    </row>
    <row r="241" spans="3:12" ht="15.75" customHeight="1">
      <c r="C241" s="13"/>
      <c r="K241" s="2"/>
      <c r="L241" s="2"/>
    </row>
    <row r="242" spans="3:12" ht="15.75" customHeight="1">
      <c r="C242" s="13"/>
      <c r="K242" s="2"/>
      <c r="L242" s="2"/>
    </row>
    <row r="243" spans="3:12" ht="15.75" customHeight="1">
      <c r="C243" s="13"/>
      <c r="K243" s="2"/>
      <c r="L243" s="2"/>
    </row>
    <row r="244" spans="3:12" ht="15.75" customHeight="1">
      <c r="C244" s="13"/>
      <c r="K244" s="2"/>
      <c r="L244" s="2"/>
    </row>
    <row r="245" spans="3:12" ht="15.75" customHeight="1">
      <c r="C245" s="13"/>
      <c r="K245" s="2"/>
      <c r="L245" s="2"/>
    </row>
    <row r="246" spans="3:12" ht="15.75" customHeight="1">
      <c r="C246" s="13"/>
      <c r="K246" s="2"/>
      <c r="L246" s="2"/>
    </row>
    <row r="247" spans="3:12" ht="15.75" customHeight="1">
      <c r="C247" s="13"/>
      <c r="K247" s="2"/>
      <c r="L247" s="2"/>
    </row>
    <row r="248" spans="3:12" ht="15.75" customHeight="1">
      <c r="C248" s="13"/>
      <c r="K248" s="2"/>
      <c r="L248" s="2"/>
    </row>
    <row r="249" spans="3:12" ht="15.75" customHeight="1">
      <c r="C249" s="13"/>
      <c r="K249" s="2"/>
      <c r="L249" s="2"/>
    </row>
    <row r="250" spans="3:12" ht="15.75" customHeight="1">
      <c r="C250" s="13"/>
      <c r="K250" s="2"/>
      <c r="L250" s="2"/>
    </row>
    <row r="251" spans="3:12" ht="15.75" customHeight="1">
      <c r="C251" s="13"/>
      <c r="K251" s="2"/>
      <c r="L251" s="2"/>
    </row>
    <row r="252" spans="3:12" ht="15.75" customHeight="1">
      <c r="C252" s="13"/>
      <c r="K252" s="2"/>
      <c r="L252" s="2"/>
    </row>
    <row r="253" spans="3:12" ht="15.75" customHeight="1">
      <c r="C253" s="13"/>
      <c r="K253" s="2"/>
      <c r="L253" s="2"/>
    </row>
    <row r="254" spans="3:12" ht="15.75" customHeight="1">
      <c r="C254" s="13"/>
      <c r="K254" s="2"/>
      <c r="L254" s="2"/>
    </row>
    <row r="255" spans="3:12" ht="15.75" customHeight="1">
      <c r="C255" s="13"/>
      <c r="K255" s="2"/>
      <c r="L255" s="2"/>
    </row>
    <row r="256" spans="3:12" ht="15.75" customHeight="1">
      <c r="C256" s="13"/>
      <c r="K256" s="2"/>
      <c r="L256" s="2"/>
    </row>
    <row r="257" spans="3:12" ht="15.75" customHeight="1">
      <c r="C257" s="13"/>
      <c r="K257" s="2"/>
      <c r="L257" s="2"/>
    </row>
    <row r="258" spans="3:12" ht="15.75" customHeight="1">
      <c r="C258" s="13"/>
      <c r="K258" s="2"/>
      <c r="L258" s="2"/>
    </row>
    <row r="259" spans="3:12" ht="15.75" customHeight="1">
      <c r="C259" s="13"/>
      <c r="K259" s="2"/>
      <c r="L259" s="2"/>
    </row>
    <row r="260" spans="3:12" ht="15.75" customHeight="1">
      <c r="C260" s="13"/>
      <c r="K260" s="2"/>
      <c r="L260" s="2"/>
    </row>
    <row r="261" spans="3:12" ht="15.75" customHeight="1">
      <c r="C261" s="13"/>
      <c r="K261" s="2"/>
      <c r="L261" s="2"/>
    </row>
    <row r="262" spans="3:12" ht="15.75" customHeight="1">
      <c r="C262" s="13"/>
      <c r="K262" s="2"/>
      <c r="L262" s="2"/>
    </row>
    <row r="263" spans="3:12" ht="15.75" customHeight="1">
      <c r="C263" s="13"/>
      <c r="K263" s="2"/>
      <c r="L263" s="2"/>
    </row>
    <row r="264" spans="3:12" ht="15.75" customHeight="1">
      <c r="C264" s="13"/>
      <c r="K264" s="2"/>
      <c r="L264" s="2"/>
    </row>
    <row r="265" spans="3:12" ht="15.75" customHeight="1">
      <c r="C265" s="13"/>
      <c r="K265" s="2"/>
      <c r="L265" s="2"/>
    </row>
    <row r="266" spans="3:12" ht="15.75" customHeight="1">
      <c r="C266" s="13"/>
      <c r="K266" s="2"/>
      <c r="L266" s="2"/>
    </row>
    <row r="267" spans="3:12" ht="15.75" customHeight="1">
      <c r="C267" s="13"/>
      <c r="K267" s="2"/>
      <c r="L267" s="2"/>
    </row>
    <row r="268" spans="3:12" ht="15.75" customHeight="1">
      <c r="C268" s="13"/>
      <c r="K268" s="2"/>
      <c r="L268" s="2"/>
    </row>
    <row r="269" spans="3:12" ht="15.75" customHeight="1">
      <c r="C269" s="13"/>
      <c r="K269" s="2"/>
      <c r="L269" s="2"/>
    </row>
    <row r="270" spans="3:12" ht="15.75" customHeight="1">
      <c r="C270" s="13"/>
      <c r="K270" s="2"/>
      <c r="L270" s="2"/>
    </row>
    <row r="271" spans="3:12" ht="15.75" customHeight="1">
      <c r="C271" s="13"/>
      <c r="K271" s="2"/>
      <c r="L271" s="2"/>
    </row>
    <row r="272" spans="3:12" ht="15.75" customHeight="1">
      <c r="C272" s="13"/>
      <c r="K272" s="2"/>
      <c r="L272" s="2"/>
    </row>
    <row r="273" spans="3:12" ht="15.75" customHeight="1">
      <c r="C273" s="13"/>
      <c r="K273" s="2"/>
      <c r="L273" s="2"/>
    </row>
    <row r="274" spans="3:12" ht="15.75" customHeight="1">
      <c r="C274" s="13"/>
      <c r="K274" s="2"/>
      <c r="L274" s="2"/>
    </row>
    <row r="275" spans="3:12" ht="15.75" customHeight="1">
      <c r="C275" s="13"/>
      <c r="K275" s="2"/>
      <c r="L275" s="2"/>
    </row>
    <row r="276" spans="3:12" ht="15.75" customHeight="1">
      <c r="C276" s="13"/>
      <c r="K276" s="2"/>
      <c r="L276" s="2"/>
    </row>
    <row r="277" spans="3:12" ht="15.75" customHeight="1">
      <c r="C277" s="13"/>
      <c r="K277" s="2"/>
      <c r="L277" s="2"/>
    </row>
    <row r="278" spans="3:12" ht="15.75" customHeight="1">
      <c r="C278" s="13"/>
      <c r="K278" s="2"/>
      <c r="L278" s="2"/>
    </row>
    <row r="279" spans="3:12" ht="15.75" customHeight="1">
      <c r="C279" s="13"/>
      <c r="K279" s="2"/>
      <c r="L279" s="2"/>
    </row>
    <row r="280" spans="3:12" ht="15.75" customHeight="1">
      <c r="C280" s="13"/>
      <c r="K280" s="2"/>
      <c r="L280" s="2"/>
    </row>
    <row r="281" spans="3:12" ht="15.75" customHeight="1">
      <c r="C281" s="13"/>
      <c r="K281" s="2"/>
      <c r="L281" s="2"/>
    </row>
    <row r="282" spans="3:12" ht="15.75" customHeight="1">
      <c r="C282" s="13"/>
      <c r="K282" s="2"/>
      <c r="L282" s="2"/>
    </row>
    <row r="283" spans="3:12" ht="15.75" customHeight="1">
      <c r="C283" s="13"/>
      <c r="K283" s="2"/>
      <c r="L283" s="2"/>
    </row>
    <row r="284" spans="3:12" ht="15.75" customHeight="1">
      <c r="C284" s="13"/>
      <c r="K284" s="2"/>
      <c r="L284" s="2"/>
    </row>
    <row r="285" spans="3:12" ht="15.75" customHeight="1">
      <c r="C285" s="13"/>
      <c r="K285" s="2"/>
      <c r="L285" s="2"/>
    </row>
    <row r="286" spans="3:12" ht="15.75" customHeight="1">
      <c r="C286" s="13"/>
      <c r="K286" s="2"/>
      <c r="L286" s="2"/>
    </row>
    <row r="287" spans="3:12" ht="15.75" customHeight="1">
      <c r="C287" s="13"/>
      <c r="K287" s="2"/>
      <c r="L287" s="2"/>
    </row>
    <row r="288" spans="3:12" ht="15.75" customHeight="1">
      <c r="C288" s="13"/>
      <c r="K288" s="2"/>
      <c r="L288" s="2"/>
    </row>
    <row r="289" spans="3:12" ht="15.75" customHeight="1">
      <c r="C289" s="13"/>
      <c r="K289" s="2"/>
      <c r="L289" s="2"/>
    </row>
    <row r="290" spans="3:12" ht="15.75" customHeight="1">
      <c r="C290" s="13"/>
      <c r="K290" s="2"/>
      <c r="L290" s="2"/>
    </row>
    <row r="291" spans="3:12" ht="15.75" customHeight="1">
      <c r="C291" s="13"/>
      <c r="K291" s="2"/>
      <c r="L291" s="2"/>
    </row>
    <row r="292" spans="3:12" ht="15.75" customHeight="1">
      <c r="C292" s="13"/>
      <c r="K292" s="2"/>
      <c r="L292" s="2"/>
    </row>
    <row r="293" spans="3:12" ht="15.75" customHeight="1">
      <c r="C293" s="13"/>
      <c r="K293" s="2"/>
      <c r="L293" s="2"/>
    </row>
    <row r="294" spans="3:12" ht="15.75" customHeight="1">
      <c r="C294" s="13"/>
      <c r="K294" s="2"/>
      <c r="L294" s="2"/>
    </row>
    <row r="295" spans="3:12" ht="15.75" customHeight="1">
      <c r="C295" s="13"/>
      <c r="K295" s="2"/>
      <c r="L295" s="2"/>
    </row>
    <row r="296" spans="3:12" ht="15.75" customHeight="1">
      <c r="C296" s="13"/>
      <c r="K296" s="2"/>
      <c r="L296" s="2"/>
    </row>
    <row r="297" spans="3:12" ht="15.75" customHeight="1">
      <c r="C297" s="13"/>
      <c r="K297" s="2"/>
      <c r="L297" s="2"/>
    </row>
    <row r="298" spans="3:12" ht="15.75" customHeight="1">
      <c r="C298" s="13"/>
      <c r="K298" s="2"/>
      <c r="L298" s="2"/>
    </row>
    <row r="299" spans="3:12" ht="15.75" customHeight="1">
      <c r="C299" s="13"/>
      <c r="K299" s="2"/>
      <c r="L299" s="2"/>
    </row>
    <row r="300" spans="3:12" ht="15.75" customHeight="1">
      <c r="C300" s="13"/>
      <c r="K300" s="2"/>
      <c r="L300" s="2"/>
    </row>
    <row r="301" spans="3:12" ht="15.75" customHeight="1">
      <c r="C301" s="13"/>
      <c r="K301" s="2"/>
      <c r="L301" s="2"/>
    </row>
    <row r="302" spans="3:12" ht="15.75" customHeight="1">
      <c r="C302" s="13"/>
      <c r="K302" s="2"/>
      <c r="L302" s="2"/>
    </row>
    <row r="303" spans="3:12" ht="15.75" customHeight="1">
      <c r="C303" s="13"/>
      <c r="K303" s="2"/>
      <c r="L303" s="2"/>
    </row>
    <row r="304" spans="3:12" ht="15.75" customHeight="1">
      <c r="C304" s="13"/>
      <c r="K304" s="2"/>
      <c r="L304" s="2"/>
    </row>
    <row r="305" spans="3:12" ht="15.75" customHeight="1">
      <c r="C305" s="13"/>
      <c r="K305" s="2"/>
      <c r="L305" s="2"/>
    </row>
    <row r="306" spans="3:12" ht="15.75" customHeight="1">
      <c r="C306" s="13"/>
      <c r="K306" s="2"/>
      <c r="L306" s="2"/>
    </row>
    <row r="307" spans="3:12" ht="15.75" customHeight="1">
      <c r="C307" s="13"/>
      <c r="K307" s="2"/>
      <c r="L307" s="2"/>
    </row>
    <row r="308" spans="3:12" ht="15.75" customHeight="1">
      <c r="C308" s="13"/>
      <c r="K308" s="2"/>
      <c r="L308" s="2"/>
    </row>
    <row r="309" spans="3:12" ht="15.75" customHeight="1">
      <c r="C309" s="13"/>
      <c r="K309" s="2"/>
      <c r="L309" s="2"/>
    </row>
    <row r="310" spans="3:12" ht="15.75" customHeight="1">
      <c r="C310" s="13"/>
      <c r="K310" s="2"/>
      <c r="L310" s="2"/>
    </row>
    <row r="311" spans="3:12" ht="15.75" customHeight="1">
      <c r="C311" s="13"/>
      <c r="K311" s="2"/>
      <c r="L311" s="2"/>
    </row>
    <row r="312" spans="3:12" ht="15.75" customHeight="1">
      <c r="C312" s="13"/>
      <c r="K312" s="2"/>
      <c r="L312" s="2"/>
    </row>
    <row r="313" spans="3:12" ht="15.75" customHeight="1">
      <c r="C313" s="13"/>
      <c r="K313" s="2"/>
      <c r="L313" s="2"/>
    </row>
    <row r="314" spans="3:12" ht="15.75" customHeight="1">
      <c r="C314" s="13"/>
      <c r="K314" s="2"/>
      <c r="L314" s="2"/>
    </row>
    <row r="315" spans="3:12" ht="15.75" customHeight="1">
      <c r="C315" s="13"/>
      <c r="K315" s="2"/>
      <c r="L315" s="2"/>
    </row>
    <row r="316" spans="3:12" ht="15.75" customHeight="1">
      <c r="C316" s="13"/>
      <c r="K316" s="2"/>
      <c r="L316" s="2"/>
    </row>
    <row r="317" spans="3:12" ht="15.75" customHeight="1">
      <c r="C317" s="13"/>
      <c r="K317" s="2"/>
      <c r="L317" s="2"/>
    </row>
    <row r="318" spans="3:12" ht="15.75" customHeight="1">
      <c r="C318" s="13"/>
      <c r="K318" s="2"/>
      <c r="L318" s="2"/>
    </row>
    <row r="319" spans="3:12" ht="15.75" customHeight="1">
      <c r="C319" s="13"/>
      <c r="K319" s="2"/>
      <c r="L319" s="2"/>
    </row>
    <row r="320" spans="3:12" ht="15.75" customHeight="1">
      <c r="C320" s="13"/>
      <c r="K320" s="2"/>
      <c r="L320" s="2"/>
    </row>
    <row r="321" spans="3:12" ht="15.75" customHeight="1">
      <c r="C321" s="13"/>
      <c r="K321" s="2"/>
      <c r="L321" s="2"/>
    </row>
    <row r="322" spans="3:12" ht="15.75" customHeight="1">
      <c r="C322" s="13"/>
      <c r="K322" s="2"/>
      <c r="L322" s="2"/>
    </row>
    <row r="323" spans="3:12" ht="15.75" customHeight="1">
      <c r="C323" s="13"/>
      <c r="K323" s="2"/>
      <c r="L323" s="2"/>
    </row>
    <row r="324" spans="3:12" ht="15.75" customHeight="1">
      <c r="C324" s="13"/>
      <c r="K324" s="2"/>
      <c r="L324" s="2"/>
    </row>
    <row r="325" spans="3:12" ht="15.75" customHeight="1">
      <c r="C325" s="13"/>
      <c r="K325" s="2"/>
      <c r="L325" s="2"/>
    </row>
    <row r="326" spans="3:12" ht="15.75" customHeight="1">
      <c r="C326" s="13"/>
      <c r="K326" s="2"/>
      <c r="L326" s="2"/>
    </row>
    <row r="327" spans="3:12" ht="15.75" customHeight="1">
      <c r="C327" s="13"/>
      <c r="K327" s="2"/>
      <c r="L327" s="2"/>
    </row>
    <row r="328" spans="3:12" ht="15.75" customHeight="1">
      <c r="C328" s="13"/>
      <c r="K328" s="2"/>
      <c r="L328" s="2"/>
    </row>
    <row r="329" spans="3:12" ht="15.75" customHeight="1">
      <c r="C329" s="13"/>
      <c r="K329" s="2"/>
      <c r="L329" s="2"/>
    </row>
    <row r="330" spans="3:12" ht="15.75" customHeight="1">
      <c r="C330" s="13"/>
      <c r="K330" s="2"/>
      <c r="L330" s="2"/>
    </row>
    <row r="331" spans="3:12" ht="15.75" customHeight="1">
      <c r="C331" s="13"/>
      <c r="K331" s="2"/>
      <c r="L331" s="2"/>
    </row>
    <row r="332" spans="3:12" ht="15.75" customHeight="1">
      <c r="C332" s="13"/>
      <c r="K332" s="2"/>
      <c r="L332" s="2"/>
    </row>
    <row r="333" spans="3:12" ht="15.75" customHeight="1">
      <c r="C333" s="13"/>
      <c r="K333" s="2"/>
      <c r="L333" s="2"/>
    </row>
    <row r="334" spans="3:12" ht="15.75" customHeight="1">
      <c r="C334" s="13"/>
      <c r="K334" s="2"/>
      <c r="L334" s="2"/>
    </row>
    <row r="335" spans="3:12" ht="15.75" customHeight="1">
      <c r="C335" s="13"/>
      <c r="K335" s="2"/>
      <c r="L335" s="2"/>
    </row>
    <row r="336" spans="3:12" ht="15.75" customHeight="1">
      <c r="C336" s="13"/>
      <c r="K336" s="2"/>
      <c r="L336" s="2"/>
    </row>
    <row r="337" spans="3:12" ht="15.75" customHeight="1">
      <c r="C337" s="13"/>
      <c r="K337" s="2"/>
      <c r="L337" s="2"/>
    </row>
    <row r="338" spans="3:12" ht="15.75" customHeight="1">
      <c r="C338" s="13"/>
      <c r="K338" s="2"/>
      <c r="L338" s="2"/>
    </row>
    <row r="339" spans="3:12" ht="15.75" customHeight="1">
      <c r="C339" s="13"/>
      <c r="K339" s="2"/>
      <c r="L339" s="2"/>
    </row>
    <row r="340" spans="3:12" ht="15.75" customHeight="1">
      <c r="C340" s="13"/>
      <c r="K340" s="2"/>
      <c r="L340" s="2"/>
    </row>
    <row r="341" spans="3:12" ht="15.75" customHeight="1">
      <c r="C341" s="13"/>
      <c r="K341" s="2"/>
      <c r="L341" s="2"/>
    </row>
    <row r="342" spans="3:12" ht="15.75" customHeight="1">
      <c r="C342" s="13"/>
      <c r="K342" s="2"/>
      <c r="L342" s="2"/>
    </row>
    <row r="343" spans="3:12" ht="15.75" customHeight="1">
      <c r="C343" s="13"/>
      <c r="K343" s="2"/>
      <c r="L343" s="2"/>
    </row>
    <row r="344" spans="3:12" ht="15.75" customHeight="1">
      <c r="C344" s="13"/>
      <c r="K344" s="2"/>
      <c r="L344" s="2"/>
    </row>
    <row r="345" spans="3:12" ht="15.75" customHeight="1">
      <c r="C345" s="13"/>
      <c r="K345" s="2"/>
      <c r="L345" s="2"/>
    </row>
    <row r="346" spans="3:12" ht="15.75" customHeight="1">
      <c r="C346" s="13"/>
      <c r="K346" s="2"/>
      <c r="L346" s="2"/>
    </row>
    <row r="347" spans="3:12" ht="15.75" customHeight="1">
      <c r="C347" s="13"/>
      <c r="K347" s="2"/>
      <c r="L347" s="2"/>
    </row>
    <row r="348" spans="3:12" ht="15.75" customHeight="1">
      <c r="C348" s="13"/>
      <c r="K348" s="2"/>
      <c r="L348" s="2"/>
    </row>
    <row r="349" spans="3:12" ht="15.75" customHeight="1">
      <c r="C349" s="13"/>
      <c r="K349" s="2"/>
      <c r="L349" s="2"/>
    </row>
    <row r="350" spans="3:12" ht="15.75" customHeight="1">
      <c r="C350" s="13"/>
      <c r="K350" s="2"/>
      <c r="L350" s="2"/>
    </row>
    <row r="351" spans="3:12" ht="15.75" customHeight="1">
      <c r="C351" s="13"/>
      <c r="K351" s="2"/>
      <c r="L351" s="2"/>
    </row>
    <row r="352" spans="3:12" ht="15.75" customHeight="1">
      <c r="C352" s="13"/>
      <c r="K352" s="2"/>
      <c r="L352" s="2"/>
    </row>
    <row r="353" spans="3:12" ht="15.75" customHeight="1">
      <c r="C353" s="13"/>
      <c r="K353" s="2"/>
      <c r="L353" s="2"/>
    </row>
    <row r="354" spans="3:12" ht="15.75" customHeight="1">
      <c r="C354" s="13"/>
      <c r="K354" s="2"/>
      <c r="L354" s="2"/>
    </row>
    <row r="355" spans="3:12" ht="15.75" customHeight="1">
      <c r="C355" s="13"/>
      <c r="K355" s="2"/>
      <c r="L355" s="2"/>
    </row>
    <row r="356" spans="3:12" ht="15.75" customHeight="1">
      <c r="C356" s="13"/>
      <c r="K356" s="2"/>
      <c r="L356" s="2"/>
    </row>
    <row r="357" spans="3:12" ht="15.75" customHeight="1">
      <c r="C357" s="13"/>
      <c r="K357" s="2"/>
      <c r="L357" s="2"/>
    </row>
    <row r="358" spans="3:12" ht="15.75" customHeight="1">
      <c r="C358" s="13"/>
      <c r="K358" s="2"/>
      <c r="L358" s="2"/>
    </row>
    <row r="359" spans="3:12" ht="15.75" customHeight="1">
      <c r="C359" s="13"/>
      <c r="K359" s="2"/>
      <c r="L359" s="2"/>
    </row>
    <row r="360" spans="3:12" ht="15.75" customHeight="1">
      <c r="C360" s="13"/>
      <c r="K360" s="2"/>
      <c r="L360" s="2"/>
    </row>
    <row r="361" spans="3:12" ht="15.75" customHeight="1">
      <c r="C361" s="13"/>
      <c r="K361" s="2"/>
      <c r="L361" s="2"/>
    </row>
    <row r="362" spans="3:12" ht="15.75" customHeight="1">
      <c r="C362" s="13"/>
      <c r="K362" s="2"/>
      <c r="L362" s="2"/>
    </row>
    <row r="363" spans="3:12" ht="15.75" customHeight="1">
      <c r="C363" s="13"/>
      <c r="K363" s="2"/>
      <c r="L363" s="2"/>
    </row>
    <row r="364" spans="3:12" ht="15.75" customHeight="1">
      <c r="C364" s="13"/>
      <c r="K364" s="2"/>
      <c r="L364" s="2"/>
    </row>
    <row r="365" spans="3:12" ht="15.75" customHeight="1">
      <c r="C365" s="13"/>
      <c r="K365" s="2"/>
      <c r="L365" s="2"/>
    </row>
    <row r="366" spans="3:12" ht="15.75" customHeight="1">
      <c r="C366" s="13"/>
      <c r="K366" s="2"/>
      <c r="L366" s="2"/>
    </row>
    <row r="367" spans="3:12" ht="15.75" customHeight="1">
      <c r="C367" s="13"/>
      <c r="K367" s="2"/>
      <c r="L367" s="2"/>
    </row>
    <row r="368" spans="3:12" ht="15.75" customHeight="1">
      <c r="C368" s="13"/>
      <c r="K368" s="2"/>
      <c r="L368" s="2"/>
    </row>
    <row r="369" spans="3:12" ht="15.75" customHeight="1">
      <c r="C369" s="13"/>
      <c r="K369" s="2"/>
      <c r="L369" s="2"/>
    </row>
    <row r="370" spans="3:12" ht="15.75" customHeight="1">
      <c r="C370" s="13"/>
      <c r="K370" s="2"/>
      <c r="L370" s="2"/>
    </row>
    <row r="371" spans="3:12" ht="15.75" customHeight="1">
      <c r="C371" s="13"/>
      <c r="K371" s="2"/>
      <c r="L371" s="2"/>
    </row>
    <row r="372" spans="3:12" ht="15.75" customHeight="1">
      <c r="C372" s="13"/>
      <c r="K372" s="2"/>
      <c r="L372" s="2"/>
    </row>
    <row r="373" spans="3:12" ht="15.75" customHeight="1">
      <c r="C373" s="13"/>
      <c r="K373" s="2"/>
      <c r="L373" s="2"/>
    </row>
    <row r="374" spans="3:12" ht="15.75" customHeight="1">
      <c r="C374" s="13"/>
      <c r="K374" s="2"/>
      <c r="L374" s="2"/>
    </row>
    <row r="375" spans="3:12" ht="15.75" customHeight="1">
      <c r="C375" s="13"/>
      <c r="K375" s="2"/>
      <c r="L375" s="2"/>
    </row>
    <row r="376" spans="3:12" ht="15.75" customHeight="1">
      <c r="C376" s="13"/>
      <c r="K376" s="2"/>
      <c r="L376" s="2"/>
    </row>
    <row r="377" spans="3:12" ht="15.75" customHeight="1">
      <c r="C377" s="13"/>
      <c r="K377" s="2"/>
      <c r="L377" s="2"/>
    </row>
    <row r="378" spans="3:12" ht="15.75" customHeight="1">
      <c r="C378" s="13"/>
      <c r="K378" s="2"/>
      <c r="L378" s="2"/>
    </row>
    <row r="379" spans="3:12" ht="15.75" customHeight="1">
      <c r="C379" s="13"/>
      <c r="K379" s="2"/>
      <c r="L379" s="2"/>
    </row>
    <row r="380" spans="3:12" ht="15.75" customHeight="1">
      <c r="C380" s="13"/>
      <c r="K380" s="2"/>
      <c r="L380" s="2"/>
    </row>
    <row r="381" spans="3:12" ht="15.75" customHeight="1">
      <c r="C381" s="13"/>
      <c r="K381" s="2"/>
      <c r="L381" s="2"/>
    </row>
    <row r="382" spans="3:12" ht="15.75" customHeight="1">
      <c r="C382" s="13"/>
      <c r="K382" s="2"/>
      <c r="L382" s="2"/>
    </row>
    <row r="383" spans="3:12" ht="15.75" customHeight="1">
      <c r="C383" s="13"/>
      <c r="K383" s="2"/>
      <c r="L383" s="2"/>
    </row>
    <row r="384" spans="3:12" ht="15.75" customHeight="1">
      <c r="C384" s="13"/>
      <c r="K384" s="2"/>
      <c r="L384" s="2"/>
    </row>
    <row r="385" spans="3:12" ht="15.75" customHeight="1">
      <c r="C385" s="13"/>
      <c r="K385" s="2"/>
      <c r="L385" s="2"/>
    </row>
    <row r="386" spans="3:12" ht="15.75" customHeight="1">
      <c r="C386" s="13"/>
      <c r="K386" s="2"/>
      <c r="L386" s="2"/>
    </row>
    <row r="387" spans="3:12" ht="15.75" customHeight="1">
      <c r="C387" s="13"/>
      <c r="K387" s="2"/>
      <c r="L387" s="2"/>
    </row>
    <row r="388" spans="3:12" ht="15.75" customHeight="1">
      <c r="C388" s="13"/>
      <c r="K388" s="2"/>
      <c r="L388" s="2"/>
    </row>
    <row r="389" spans="3:12" ht="15.75" customHeight="1">
      <c r="C389" s="13"/>
      <c r="K389" s="2"/>
      <c r="L389" s="2"/>
    </row>
    <row r="390" spans="3:12" ht="15.75" customHeight="1">
      <c r="C390" s="13"/>
      <c r="K390" s="2"/>
      <c r="L390" s="2"/>
    </row>
    <row r="391" spans="3:12" ht="15.75" customHeight="1">
      <c r="C391" s="13"/>
      <c r="K391" s="2"/>
      <c r="L391" s="2"/>
    </row>
    <row r="392" spans="3:12" ht="15.75" customHeight="1">
      <c r="C392" s="13"/>
      <c r="K392" s="2"/>
      <c r="L392" s="2"/>
    </row>
    <row r="393" spans="3:12" ht="15.75" customHeight="1">
      <c r="C393" s="13"/>
      <c r="K393" s="2"/>
      <c r="L393" s="2"/>
    </row>
    <row r="394" spans="3:12" ht="15.75" customHeight="1">
      <c r="C394" s="13"/>
      <c r="K394" s="2"/>
      <c r="L394" s="2"/>
    </row>
    <row r="395" spans="3:12" ht="15.75" customHeight="1">
      <c r="C395" s="13"/>
      <c r="K395" s="2"/>
      <c r="L395" s="2"/>
    </row>
    <row r="396" spans="3:12" ht="15.75" customHeight="1">
      <c r="C396" s="13"/>
      <c r="K396" s="2"/>
      <c r="L396" s="2"/>
    </row>
    <row r="397" spans="3:12" ht="15.75" customHeight="1">
      <c r="C397" s="13"/>
      <c r="K397" s="2"/>
      <c r="L397" s="2"/>
    </row>
    <row r="398" spans="3:12" ht="15.75" customHeight="1">
      <c r="C398" s="13"/>
      <c r="K398" s="2"/>
      <c r="L398" s="2"/>
    </row>
    <row r="399" spans="3:12" ht="15.75" customHeight="1">
      <c r="C399" s="13"/>
      <c r="K399" s="2"/>
      <c r="L399" s="2"/>
    </row>
    <row r="400" spans="3:12" ht="15.75" customHeight="1">
      <c r="C400" s="13"/>
      <c r="K400" s="2"/>
      <c r="L400" s="2"/>
    </row>
    <row r="401" spans="3:12" ht="15.75" customHeight="1">
      <c r="C401" s="13"/>
      <c r="K401" s="2"/>
      <c r="L401" s="2"/>
    </row>
    <row r="402" spans="3:12" ht="15.75" customHeight="1">
      <c r="C402" s="13"/>
      <c r="K402" s="2"/>
      <c r="L402" s="2"/>
    </row>
    <row r="403" spans="3:12" ht="15.75" customHeight="1">
      <c r="C403" s="13"/>
      <c r="K403" s="2"/>
      <c r="L403" s="2"/>
    </row>
    <row r="404" spans="3:12" ht="15.75" customHeight="1">
      <c r="C404" s="13"/>
      <c r="K404" s="2"/>
      <c r="L404" s="2"/>
    </row>
    <row r="405" spans="3:12" ht="15.75" customHeight="1">
      <c r="C405" s="13"/>
      <c r="K405" s="2"/>
      <c r="L405" s="2"/>
    </row>
    <row r="406" spans="3:12" ht="15.75" customHeight="1">
      <c r="C406" s="13"/>
      <c r="K406" s="2"/>
      <c r="L406" s="2"/>
    </row>
    <row r="407" spans="3:12" ht="15.75" customHeight="1">
      <c r="C407" s="13"/>
      <c r="K407" s="2"/>
      <c r="L407" s="2"/>
    </row>
    <row r="408" spans="3:12" ht="15.75" customHeight="1">
      <c r="C408" s="13"/>
      <c r="K408" s="2"/>
      <c r="L408" s="2"/>
    </row>
    <row r="409" spans="3:12" ht="15.75" customHeight="1">
      <c r="C409" s="13"/>
      <c r="K409" s="2"/>
      <c r="L409" s="2"/>
    </row>
    <row r="410" spans="3:12" ht="15.75" customHeight="1">
      <c r="C410" s="13"/>
      <c r="K410" s="2"/>
      <c r="L410" s="2"/>
    </row>
    <row r="411" spans="3:12" ht="15.75" customHeight="1">
      <c r="C411" s="13"/>
      <c r="K411" s="2"/>
      <c r="L411" s="2"/>
    </row>
    <row r="412" spans="3:12" ht="15.75" customHeight="1">
      <c r="C412" s="13"/>
      <c r="K412" s="2"/>
      <c r="L412" s="2"/>
    </row>
    <row r="413" spans="3:12" ht="15.75" customHeight="1">
      <c r="C413" s="13"/>
      <c r="K413" s="2"/>
      <c r="L413" s="2"/>
    </row>
    <row r="414" spans="3:12" ht="15.75" customHeight="1">
      <c r="C414" s="13"/>
      <c r="K414" s="2"/>
      <c r="L414" s="2"/>
    </row>
    <row r="415" spans="3:12" ht="15.75" customHeight="1">
      <c r="C415" s="13"/>
      <c r="K415" s="2"/>
      <c r="L415" s="2"/>
    </row>
    <row r="416" spans="3:12" ht="15.75" customHeight="1">
      <c r="C416" s="13"/>
      <c r="K416" s="2"/>
      <c r="L416" s="2"/>
    </row>
    <row r="417" spans="3:12" ht="15.75" customHeight="1">
      <c r="C417" s="13"/>
      <c r="K417" s="2"/>
      <c r="L417" s="2"/>
    </row>
    <row r="418" spans="3:12" ht="15.75" customHeight="1">
      <c r="C418" s="13"/>
      <c r="K418" s="2"/>
      <c r="L418" s="2"/>
    </row>
    <row r="419" spans="3:12" ht="15.75" customHeight="1">
      <c r="C419" s="13"/>
      <c r="K419" s="2"/>
      <c r="L419" s="2"/>
    </row>
    <row r="420" spans="3:12" ht="15.75" customHeight="1">
      <c r="C420" s="13"/>
      <c r="K420" s="2"/>
      <c r="L420" s="2"/>
    </row>
    <row r="421" spans="3:12" ht="15.75" customHeight="1">
      <c r="C421" s="13"/>
      <c r="K421" s="2"/>
      <c r="L421" s="2"/>
    </row>
    <row r="422" spans="3:12" ht="15.75" customHeight="1">
      <c r="C422" s="13"/>
      <c r="K422" s="2"/>
      <c r="L422" s="2"/>
    </row>
    <row r="423" spans="3:12" ht="15.75" customHeight="1">
      <c r="C423" s="13"/>
      <c r="K423" s="2"/>
      <c r="L423" s="2"/>
    </row>
    <row r="424" spans="3:12" ht="15.75" customHeight="1">
      <c r="C424" s="13"/>
      <c r="K424" s="2"/>
      <c r="L424" s="2"/>
    </row>
    <row r="425" spans="3:12" ht="15.75" customHeight="1">
      <c r="C425" s="13"/>
      <c r="K425" s="2"/>
      <c r="L425" s="2"/>
    </row>
    <row r="426" spans="3:12" ht="15.75" customHeight="1">
      <c r="C426" s="13"/>
      <c r="K426" s="2"/>
      <c r="L426" s="2"/>
    </row>
    <row r="427" spans="3:12" ht="15.75" customHeight="1">
      <c r="C427" s="13"/>
      <c r="K427" s="2"/>
      <c r="L427" s="2"/>
    </row>
    <row r="428" spans="3:12" ht="15.75" customHeight="1">
      <c r="C428" s="13"/>
      <c r="K428" s="2"/>
      <c r="L428" s="2"/>
    </row>
    <row r="429" spans="3:12" ht="15.75" customHeight="1">
      <c r="C429" s="13"/>
      <c r="K429" s="2"/>
      <c r="L429" s="2"/>
    </row>
    <row r="430" spans="3:12" ht="15.75" customHeight="1">
      <c r="C430" s="13"/>
      <c r="K430" s="2"/>
      <c r="L430" s="2"/>
    </row>
    <row r="431" spans="3:12" ht="15.75" customHeight="1">
      <c r="C431" s="13"/>
      <c r="K431" s="2"/>
      <c r="L431" s="2"/>
    </row>
    <row r="432" spans="3:12" ht="15.75" customHeight="1">
      <c r="C432" s="13"/>
      <c r="K432" s="2"/>
      <c r="L432" s="2"/>
    </row>
    <row r="433" spans="3:12" ht="15.75" customHeight="1">
      <c r="C433" s="13"/>
      <c r="K433" s="2"/>
      <c r="L433" s="2"/>
    </row>
    <row r="434" spans="3:12" ht="15.75" customHeight="1">
      <c r="C434" s="13"/>
      <c r="K434" s="2"/>
      <c r="L434" s="2"/>
    </row>
    <row r="435" spans="3:12" ht="15.75" customHeight="1">
      <c r="C435" s="13"/>
      <c r="K435" s="2"/>
      <c r="L435" s="2"/>
    </row>
    <row r="436" spans="3:12" ht="15.75" customHeight="1">
      <c r="C436" s="13"/>
      <c r="K436" s="2"/>
      <c r="L436" s="2"/>
    </row>
    <row r="437" spans="3:12" ht="15.75" customHeight="1">
      <c r="C437" s="13"/>
      <c r="K437" s="2"/>
      <c r="L437" s="2"/>
    </row>
    <row r="438" spans="3:12" ht="15.75" customHeight="1">
      <c r="C438" s="13"/>
      <c r="K438" s="2"/>
      <c r="L438" s="2"/>
    </row>
    <row r="439" spans="3:12" ht="15.75" customHeight="1">
      <c r="C439" s="13"/>
      <c r="K439" s="2"/>
      <c r="L439" s="2"/>
    </row>
    <row r="440" spans="3:12" ht="15.75" customHeight="1">
      <c r="C440" s="13"/>
      <c r="K440" s="2"/>
      <c r="L440" s="2"/>
    </row>
    <row r="441" spans="3:12" ht="15.75" customHeight="1">
      <c r="C441" s="13"/>
      <c r="K441" s="2"/>
      <c r="L441" s="2"/>
    </row>
    <row r="442" spans="3:12" ht="15.75" customHeight="1">
      <c r="C442" s="13"/>
      <c r="K442" s="2"/>
      <c r="L442" s="2"/>
    </row>
    <row r="443" spans="3:12" ht="15.75" customHeight="1">
      <c r="C443" s="13"/>
      <c r="K443" s="2"/>
      <c r="L443" s="2"/>
    </row>
    <row r="444" spans="3:12" ht="15.75" customHeight="1">
      <c r="C444" s="13"/>
      <c r="K444" s="2"/>
      <c r="L444" s="2"/>
    </row>
    <row r="445" spans="3:12" ht="15.75" customHeight="1">
      <c r="C445" s="13"/>
      <c r="K445" s="2"/>
      <c r="L445" s="2"/>
    </row>
    <row r="446" spans="3:12" ht="15.75" customHeight="1">
      <c r="C446" s="13"/>
      <c r="K446" s="2"/>
      <c r="L446" s="2"/>
    </row>
    <row r="447" spans="3:12" ht="15.75" customHeight="1">
      <c r="C447" s="13"/>
      <c r="K447" s="2"/>
      <c r="L447" s="2"/>
    </row>
    <row r="448" spans="3:12" ht="15.75" customHeight="1">
      <c r="C448" s="13"/>
      <c r="K448" s="2"/>
      <c r="L448" s="2"/>
    </row>
    <row r="449" spans="3:12" ht="15.75" customHeight="1">
      <c r="C449" s="13"/>
      <c r="K449" s="2"/>
      <c r="L449" s="2"/>
    </row>
    <row r="450" spans="3:12" ht="15.75" customHeight="1">
      <c r="C450" s="13"/>
      <c r="K450" s="2"/>
      <c r="L450" s="2"/>
    </row>
    <row r="451" spans="3:12" ht="15.75" customHeight="1">
      <c r="C451" s="13"/>
      <c r="K451" s="2"/>
      <c r="L451" s="2"/>
    </row>
    <row r="452" spans="3:12" ht="15.75" customHeight="1">
      <c r="C452" s="13"/>
      <c r="K452" s="2"/>
      <c r="L452" s="2"/>
    </row>
    <row r="453" spans="3:12" ht="15.75" customHeight="1">
      <c r="C453" s="13"/>
      <c r="K453" s="2"/>
      <c r="L453" s="2"/>
    </row>
    <row r="454" spans="3:12" ht="15.75" customHeight="1">
      <c r="C454" s="13"/>
      <c r="K454" s="2"/>
      <c r="L454" s="2"/>
    </row>
    <row r="455" spans="3:12" ht="15.75" customHeight="1">
      <c r="C455" s="13"/>
      <c r="K455" s="2"/>
      <c r="L455" s="2"/>
    </row>
    <row r="456" spans="3:12" ht="15.75" customHeight="1">
      <c r="C456" s="13"/>
      <c r="K456" s="2"/>
      <c r="L456" s="2"/>
    </row>
    <row r="457" spans="3:12" ht="15.75" customHeight="1">
      <c r="C457" s="13"/>
      <c r="K457" s="2"/>
      <c r="L457" s="2"/>
    </row>
    <row r="458" spans="3:12" ht="15.75" customHeight="1">
      <c r="C458" s="13"/>
      <c r="K458" s="2"/>
      <c r="L458" s="2"/>
    </row>
    <row r="459" spans="3:12" ht="15.75" customHeight="1">
      <c r="C459" s="13"/>
      <c r="K459" s="2"/>
      <c r="L459" s="2"/>
    </row>
    <row r="460" spans="3:12" ht="15.75" customHeight="1">
      <c r="C460" s="13"/>
      <c r="K460" s="2"/>
      <c r="L460" s="2"/>
    </row>
    <row r="461" spans="3:12" ht="15.75" customHeight="1">
      <c r="C461" s="13"/>
      <c r="K461" s="2"/>
      <c r="L461" s="2"/>
    </row>
    <row r="462" spans="3:12" ht="15.75" customHeight="1">
      <c r="C462" s="13"/>
      <c r="K462" s="2"/>
      <c r="L462" s="2"/>
    </row>
    <row r="463" spans="3:12" ht="15.75" customHeight="1">
      <c r="C463" s="13"/>
      <c r="K463" s="2"/>
      <c r="L463" s="2"/>
    </row>
    <row r="464" spans="3:12" ht="15.75" customHeight="1">
      <c r="C464" s="13"/>
      <c r="K464" s="2"/>
      <c r="L464" s="2"/>
    </row>
    <row r="465" spans="3:12" ht="15.75" customHeight="1">
      <c r="C465" s="13"/>
      <c r="K465" s="2"/>
      <c r="L465" s="2"/>
    </row>
    <row r="466" spans="3:12" ht="15.75" customHeight="1">
      <c r="C466" s="13"/>
      <c r="K466" s="2"/>
      <c r="L466" s="2"/>
    </row>
    <row r="467" spans="3:12" ht="15.75" customHeight="1">
      <c r="C467" s="13"/>
      <c r="K467" s="2"/>
      <c r="L467" s="2"/>
    </row>
    <row r="468" spans="3:12" ht="15.75" customHeight="1">
      <c r="C468" s="13"/>
      <c r="K468" s="2"/>
      <c r="L468" s="2"/>
    </row>
    <row r="469" spans="3:12" ht="15.75" customHeight="1">
      <c r="C469" s="13"/>
      <c r="K469" s="2"/>
      <c r="L469" s="2"/>
    </row>
    <row r="470" spans="3:12" ht="15.75" customHeight="1">
      <c r="C470" s="13"/>
      <c r="K470" s="2"/>
      <c r="L470" s="2"/>
    </row>
    <row r="471" spans="3:12" ht="15.75" customHeight="1">
      <c r="C471" s="13"/>
      <c r="K471" s="2"/>
      <c r="L471" s="2"/>
    </row>
    <row r="472" spans="3:12" ht="15.75" customHeight="1">
      <c r="C472" s="13"/>
      <c r="K472" s="2"/>
      <c r="L472" s="2"/>
    </row>
    <row r="473" spans="3:12" ht="15.75" customHeight="1">
      <c r="C473" s="13"/>
      <c r="K473" s="2"/>
      <c r="L473" s="2"/>
    </row>
    <row r="474" spans="3:12" ht="15.75" customHeight="1">
      <c r="C474" s="13"/>
      <c r="K474" s="2"/>
      <c r="L474" s="2"/>
    </row>
    <row r="475" spans="3:12" ht="15.75" customHeight="1">
      <c r="C475" s="13"/>
      <c r="K475" s="2"/>
      <c r="L475" s="2"/>
    </row>
    <row r="476" spans="3:12" ht="15.75" customHeight="1">
      <c r="C476" s="13"/>
      <c r="K476" s="2"/>
      <c r="L476" s="2"/>
    </row>
    <row r="477" spans="3:12" ht="15.75" customHeight="1">
      <c r="C477" s="13"/>
      <c r="K477" s="2"/>
      <c r="L477" s="2"/>
    </row>
    <row r="478" spans="3:12" ht="15.75" customHeight="1">
      <c r="C478" s="13"/>
      <c r="K478" s="2"/>
      <c r="L478" s="2"/>
    </row>
    <row r="479" spans="3:12" ht="15.75" customHeight="1">
      <c r="C479" s="13"/>
      <c r="K479" s="2"/>
      <c r="L479" s="2"/>
    </row>
    <row r="480" spans="3:12" ht="15.75" customHeight="1">
      <c r="C480" s="13"/>
      <c r="K480" s="2"/>
      <c r="L480" s="2"/>
    </row>
    <row r="481" spans="3:12" ht="15.75" customHeight="1">
      <c r="C481" s="13"/>
      <c r="K481" s="2"/>
      <c r="L481" s="2"/>
    </row>
    <row r="482" spans="3:12" ht="15.75" customHeight="1">
      <c r="C482" s="13"/>
      <c r="K482" s="2"/>
      <c r="L482" s="2"/>
    </row>
    <row r="483" spans="3:12" ht="15.75" customHeight="1">
      <c r="C483" s="13"/>
      <c r="K483" s="2"/>
      <c r="L483" s="2"/>
    </row>
    <row r="484" spans="3:12" ht="15.75" customHeight="1">
      <c r="C484" s="13"/>
      <c r="K484" s="2"/>
      <c r="L484" s="2"/>
    </row>
    <row r="485" spans="3:12" ht="15.75" customHeight="1">
      <c r="C485" s="13"/>
      <c r="K485" s="2"/>
      <c r="L485" s="2"/>
    </row>
    <row r="486" spans="3:12" ht="15.75" customHeight="1">
      <c r="C486" s="13"/>
      <c r="K486" s="2"/>
      <c r="L486" s="2"/>
    </row>
    <row r="487" spans="3:12" ht="15.75" customHeight="1">
      <c r="C487" s="13"/>
      <c r="K487" s="2"/>
      <c r="L487" s="2"/>
    </row>
    <row r="488" spans="3:12" ht="15.75" customHeight="1">
      <c r="C488" s="13"/>
      <c r="K488" s="2"/>
      <c r="L488" s="2"/>
    </row>
    <row r="489" spans="3:12" ht="15.75" customHeight="1">
      <c r="C489" s="13"/>
      <c r="K489" s="2"/>
      <c r="L489" s="2"/>
    </row>
    <row r="490" spans="3:12" ht="15.75" customHeight="1">
      <c r="C490" s="13"/>
      <c r="K490" s="2"/>
      <c r="L490" s="2"/>
    </row>
    <row r="491" spans="3:12" ht="15.75" customHeight="1">
      <c r="C491" s="13"/>
      <c r="K491" s="2"/>
      <c r="L491" s="2"/>
    </row>
    <row r="492" spans="3:12" ht="15.75" customHeight="1">
      <c r="C492" s="13"/>
      <c r="K492" s="2"/>
      <c r="L492" s="2"/>
    </row>
    <row r="493" spans="3:12" ht="15.75" customHeight="1">
      <c r="C493" s="13"/>
      <c r="K493" s="2"/>
      <c r="L493" s="2"/>
    </row>
    <row r="494" spans="3:12" ht="15.75" customHeight="1">
      <c r="C494" s="13"/>
      <c r="K494" s="2"/>
      <c r="L494" s="2"/>
    </row>
    <row r="495" spans="3:12" ht="15.75" customHeight="1">
      <c r="C495" s="13"/>
      <c r="K495" s="2"/>
      <c r="L495" s="2"/>
    </row>
    <row r="496" spans="3:12" ht="15.75" customHeight="1">
      <c r="C496" s="13"/>
      <c r="K496" s="2"/>
      <c r="L496" s="2"/>
    </row>
    <row r="497" spans="3:12" ht="15.75" customHeight="1">
      <c r="C497" s="13"/>
      <c r="K497" s="2"/>
      <c r="L497" s="2"/>
    </row>
    <row r="498" spans="3:12" ht="15.75" customHeight="1">
      <c r="C498" s="13"/>
      <c r="K498" s="2"/>
      <c r="L498" s="2"/>
    </row>
    <row r="499" spans="3:12" ht="15.75" customHeight="1">
      <c r="C499" s="13"/>
      <c r="K499" s="2"/>
      <c r="L499" s="2"/>
    </row>
    <row r="500" spans="3:12" ht="15.75" customHeight="1">
      <c r="C500" s="13"/>
      <c r="K500" s="2"/>
      <c r="L500" s="2"/>
    </row>
    <row r="501" spans="3:12" ht="15.75" customHeight="1">
      <c r="C501" s="13"/>
      <c r="K501" s="2"/>
      <c r="L501" s="2"/>
    </row>
    <row r="502" spans="3:12" ht="15.75" customHeight="1">
      <c r="C502" s="13"/>
      <c r="K502" s="2"/>
      <c r="L502" s="2"/>
    </row>
    <row r="503" spans="3:12" ht="15.75" customHeight="1">
      <c r="C503" s="13"/>
      <c r="K503" s="2"/>
      <c r="L503" s="2"/>
    </row>
    <row r="504" spans="3:12" ht="15.75" customHeight="1">
      <c r="C504" s="13"/>
      <c r="K504" s="2"/>
      <c r="L504" s="2"/>
    </row>
    <row r="505" spans="3:12" ht="15.75" customHeight="1">
      <c r="C505" s="13"/>
      <c r="K505" s="2"/>
      <c r="L505" s="2"/>
    </row>
    <row r="506" spans="3:12" ht="15.75" customHeight="1">
      <c r="C506" s="13"/>
      <c r="K506" s="2"/>
      <c r="L506" s="2"/>
    </row>
    <row r="507" spans="3:12" ht="15.75" customHeight="1">
      <c r="C507" s="13"/>
      <c r="K507" s="2"/>
      <c r="L507" s="2"/>
    </row>
    <row r="508" spans="3:12" ht="15.75" customHeight="1">
      <c r="C508" s="13"/>
      <c r="K508" s="2"/>
      <c r="L508" s="2"/>
    </row>
    <row r="509" spans="3:12" ht="15.75" customHeight="1">
      <c r="C509" s="13"/>
      <c r="K509" s="2"/>
      <c r="L509" s="2"/>
    </row>
    <row r="510" spans="3:12" ht="15.75" customHeight="1">
      <c r="C510" s="13"/>
      <c r="K510" s="2"/>
      <c r="L510" s="2"/>
    </row>
    <row r="511" spans="3:12" ht="15.75" customHeight="1">
      <c r="C511" s="13"/>
      <c r="K511" s="2"/>
      <c r="L511" s="2"/>
    </row>
    <row r="512" spans="3:12" ht="15.75" customHeight="1">
      <c r="C512" s="13"/>
      <c r="K512" s="2"/>
      <c r="L512" s="2"/>
    </row>
    <row r="513" spans="3:12" ht="15.75" customHeight="1">
      <c r="C513" s="13"/>
      <c r="K513" s="2"/>
      <c r="L513" s="2"/>
    </row>
    <row r="514" spans="3:12" ht="15.75" customHeight="1">
      <c r="C514" s="13"/>
      <c r="K514" s="2"/>
      <c r="L514" s="2"/>
    </row>
    <row r="515" spans="3:12" ht="15.75" customHeight="1">
      <c r="C515" s="13"/>
      <c r="K515" s="2"/>
      <c r="L515" s="2"/>
    </row>
    <row r="516" spans="3:12" ht="15.75" customHeight="1">
      <c r="C516" s="13"/>
      <c r="K516" s="2"/>
      <c r="L516" s="2"/>
    </row>
    <row r="517" spans="3:12" ht="15.75" customHeight="1">
      <c r="C517" s="13"/>
      <c r="K517" s="2"/>
      <c r="L517" s="2"/>
    </row>
    <row r="518" spans="3:12" ht="15.75" customHeight="1">
      <c r="C518" s="13"/>
      <c r="K518" s="2"/>
      <c r="L518" s="2"/>
    </row>
    <row r="519" spans="3:12" ht="15.75" customHeight="1">
      <c r="C519" s="13"/>
      <c r="K519" s="2"/>
      <c r="L519" s="2"/>
    </row>
    <row r="520" spans="3:12" ht="15.75" customHeight="1">
      <c r="C520" s="13"/>
      <c r="K520" s="2"/>
      <c r="L520" s="2"/>
    </row>
    <row r="521" spans="3:12" ht="15.75" customHeight="1">
      <c r="C521" s="13"/>
      <c r="K521" s="2"/>
      <c r="L521" s="2"/>
    </row>
    <row r="522" spans="3:12" ht="15.75" customHeight="1">
      <c r="C522" s="13"/>
      <c r="K522" s="2"/>
      <c r="L522" s="2"/>
    </row>
    <row r="523" spans="3:12" ht="15.75" customHeight="1">
      <c r="C523" s="13"/>
      <c r="K523" s="2"/>
      <c r="L523" s="2"/>
    </row>
    <row r="524" spans="3:12" ht="15.75" customHeight="1">
      <c r="C524" s="13"/>
      <c r="K524" s="2"/>
      <c r="L524" s="2"/>
    </row>
    <row r="525" spans="3:12" ht="15.75" customHeight="1">
      <c r="C525" s="13"/>
      <c r="K525" s="2"/>
      <c r="L525" s="2"/>
    </row>
    <row r="526" spans="3:12" ht="15.75" customHeight="1">
      <c r="C526" s="13"/>
      <c r="K526" s="2"/>
      <c r="L526" s="2"/>
    </row>
    <row r="527" spans="3:12" ht="15.75" customHeight="1">
      <c r="C527" s="13"/>
      <c r="K527" s="2"/>
      <c r="L527" s="2"/>
    </row>
    <row r="528" spans="3:12" ht="15.75" customHeight="1">
      <c r="C528" s="13"/>
      <c r="K528" s="2"/>
      <c r="L528" s="2"/>
    </row>
    <row r="529" spans="3:12" ht="15.75" customHeight="1">
      <c r="C529" s="13"/>
      <c r="K529" s="2"/>
      <c r="L529" s="2"/>
    </row>
    <row r="530" spans="3:12" ht="15.75" customHeight="1">
      <c r="C530" s="13"/>
      <c r="K530" s="2"/>
      <c r="L530" s="2"/>
    </row>
    <row r="531" spans="3:12" ht="15.75" customHeight="1">
      <c r="C531" s="13"/>
      <c r="K531" s="2"/>
      <c r="L531" s="2"/>
    </row>
    <row r="532" spans="3:12" ht="15.75" customHeight="1">
      <c r="C532" s="13"/>
      <c r="K532" s="2"/>
      <c r="L532" s="2"/>
    </row>
    <row r="533" spans="3:12" ht="15.75" customHeight="1">
      <c r="C533" s="13"/>
      <c r="K533" s="2"/>
      <c r="L533" s="2"/>
    </row>
    <row r="534" spans="3:12" ht="15.75" customHeight="1">
      <c r="C534" s="13"/>
      <c r="K534" s="2"/>
      <c r="L534" s="2"/>
    </row>
    <row r="535" spans="3:12" ht="15.75" customHeight="1">
      <c r="C535" s="13"/>
      <c r="K535" s="2"/>
      <c r="L535" s="2"/>
    </row>
    <row r="536" spans="3:12" ht="15.75" customHeight="1">
      <c r="C536" s="13"/>
      <c r="K536" s="2"/>
      <c r="L536" s="2"/>
    </row>
    <row r="537" spans="3:12" ht="15.75" customHeight="1">
      <c r="C537" s="13"/>
      <c r="K537" s="2"/>
      <c r="L537" s="2"/>
    </row>
    <row r="538" spans="3:12" ht="15.75" customHeight="1">
      <c r="C538" s="13"/>
      <c r="K538" s="2"/>
      <c r="L538" s="2"/>
    </row>
    <row r="539" spans="3:12" ht="15.75" customHeight="1">
      <c r="C539" s="13"/>
      <c r="K539" s="2"/>
      <c r="L539" s="2"/>
    </row>
    <row r="540" spans="3:12" ht="15.75" customHeight="1">
      <c r="C540" s="13"/>
      <c r="K540" s="2"/>
      <c r="L540" s="2"/>
    </row>
    <row r="541" spans="3:12" ht="15.75" customHeight="1">
      <c r="C541" s="13"/>
      <c r="K541" s="2"/>
      <c r="L541" s="2"/>
    </row>
    <row r="542" spans="3:12" ht="15.75" customHeight="1">
      <c r="C542" s="13"/>
      <c r="K542" s="2"/>
      <c r="L542" s="2"/>
    </row>
    <row r="543" spans="3:12" ht="15.75" customHeight="1">
      <c r="C543" s="13"/>
      <c r="K543" s="2"/>
      <c r="L543" s="2"/>
    </row>
    <row r="544" spans="3:12" ht="15.75" customHeight="1">
      <c r="C544" s="13"/>
      <c r="K544" s="2"/>
      <c r="L544" s="2"/>
    </row>
    <row r="545" spans="3:12" ht="15.75" customHeight="1">
      <c r="C545" s="13"/>
      <c r="K545" s="2"/>
      <c r="L545" s="2"/>
    </row>
    <row r="546" spans="3:12" ht="15.75" customHeight="1">
      <c r="C546" s="13"/>
      <c r="K546" s="2"/>
      <c r="L546" s="2"/>
    </row>
    <row r="547" spans="3:12" ht="15.75" customHeight="1">
      <c r="C547" s="13"/>
      <c r="K547" s="2"/>
      <c r="L547" s="2"/>
    </row>
    <row r="548" spans="3:12" ht="15.75" customHeight="1">
      <c r="C548" s="13"/>
      <c r="K548" s="2"/>
      <c r="L548" s="2"/>
    </row>
    <row r="549" spans="3:12" ht="15.75" customHeight="1">
      <c r="C549" s="13"/>
      <c r="K549" s="2"/>
      <c r="L549" s="2"/>
    </row>
    <row r="550" spans="3:12" ht="15.75" customHeight="1">
      <c r="C550" s="13"/>
      <c r="K550" s="2"/>
      <c r="L550" s="2"/>
    </row>
    <row r="551" spans="3:12" ht="15.75" customHeight="1">
      <c r="C551" s="13"/>
      <c r="K551" s="2"/>
      <c r="L551" s="2"/>
    </row>
    <row r="552" spans="3:12" ht="15.75" customHeight="1">
      <c r="C552" s="13"/>
      <c r="K552" s="2"/>
      <c r="L552" s="2"/>
    </row>
    <row r="553" spans="3:12" ht="15.75" customHeight="1">
      <c r="C553" s="13"/>
      <c r="K553" s="2"/>
      <c r="L553" s="2"/>
    </row>
    <row r="554" spans="3:12" ht="15.75" customHeight="1">
      <c r="C554" s="13"/>
      <c r="K554" s="2"/>
      <c r="L554" s="2"/>
    </row>
    <row r="555" spans="3:12" ht="15.75" customHeight="1">
      <c r="C555" s="13"/>
      <c r="K555" s="2"/>
      <c r="L555" s="2"/>
    </row>
    <row r="556" spans="3:12" ht="15.75" customHeight="1">
      <c r="C556" s="13"/>
      <c r="K556" s="2"/>
      <c r="L556" s="2"/>
    </row>
    <row r="557" spans="3:12" ht="15.75" customHeight="1">
      <c r="C557" s="13"/>
      <c r="K557" s="2"/>
      <c r="L557" s="2"/>
    </row>
    <row r="558" spans="3:12" ht="15.75" customHeight="1">
      <c r="C558" s="13"/>
      <c r="K558" s="2"/>
      <c r="L558" s="2"/>
    </row>
    <row r="559" spans="3:12" ht="15.75" customHeight="1">
      <c r="C559" s="13"/>
      <c r="K559" s="2"/>
      <c r="L559" s="2"/>
    </row>
    <row r="560" spans="3:12" ht="15.75" customHeight="1">
      <c r="C560" s="13"/>
      <c r="K560" s="2"/>
      <c r="L560" s="2"/>
    </row>
    <row r="561" spans="3:12" ht="15.75" customHeight="1">
      <c r="C561" s="13"/>
      <c r="K561" s="2"/>
      <c r="L561" s="2"/>
    </row>
    <row r="562" spans="3:12" ht="15.75" customHeight="1">
      <c r="C562" s="13"/>
      <c r="K562" s="2"/>
      <c r="L562" s="2"/>
    </row>
    <row r="563" spans="3:12" ht="15.75" customHeight="1">
      <c r="C563" s="13"/>
      <c r="K563" s="2"/>
      <c r="L563" s="2"/>
    </row>
    <row r="564" spans="3:12" ht="15.75" customHeight="1">
      <c r="C564" s="13"/>
      <c r="K564" s="2"/>
      <c r="L564" s="2"/>
    </row>
    <row r="565" spans="3:12" ht="15.75" customHeight="1">
      <c r="C565" s="13"/>
      <c r="K565" s="2"/>
      <c r="L565" s="2"/>
    </row>
    <row r="566" spans="3:12" ht="15.75" customHeight="1">
      <c r="C566" s="13"/>
      <c r="K566" s="2"/>
      <c r="L566" s="2"/>
    </row>
    <row r="567" spans="3:12" ht="15.75" customHeight="1">
      <c r="C567" s="13"/>
      <c r="K567" s="2"/>
      <c r="L567" s="2"/>
    </row>
    <row r="568" spans="3:12" ht="15.75" customHeight="1">
      <c r="C568" s="13"/>
      <c r="K568" s="2"/>
      <c r="L568" s="2"/>
    </row>
    <row r="569" spans="3:12" ht="15.75" customHeight="1">
      <c r="C569" s="13"/>
      <c r="K569" s="2"/>
      <c r="L569" s="2"/>
    </row>
    <row r="570" spans="3:12" ht="15.75" customHeight="1">
      <c r="C570" s="13"/>
      <c r="K570" s="2"/>
      <c r="L570" s="2"/>
    </row>
    <row r="571" spans="3:12" ht="15.75" customHeight="1">
      <c r="C571" s="13"/>
      <c r="K571" s="2"/>
      <c r="L571" s="2"/>
    </row>
    <row r="572" spans="3:12" ht="15.75" customHeight="1">
      <c r="C572" s="13"/>
      <c r="K572" s="2"/>
      <c r="L572" s="2"/>
    </row>
    <row r="573" spans="3:12" ht="15.75" customHeight="1">
      <c r="C573" s="13"/>
      <c r="K573" s="2"/>
      <c r="L573" s="2"/>
    </row>
    <row r="574" spans="3:12" ht="15.75" customHeight="1">
      <c r="C574" s="13"/>
      <c r="K574" s="2"/>
      <c r="L574" s="2"/>
    </row>
    <row r="575" spans="3:12" ht="15.75" customHeight="1">
      <c r="C575" s="13"/>
      <c r="K575" s="2"/>
      <c r="L575" s="2"/>
    </row>
    <row r="576" spans="3:12" ht="15.75" customHeight="1">
      <c r="C576" s="13"/>
      <c r="K576" s="2"/>
      <c r="L576" s="2"/>
    </row>
    <row r="577" spans="3:12" ht="15.75" customHeight="1">
      <c r="C577" s="13"/>
      <c r="K577" s="2"/>
      <c r="L577" s="2"/>
    </row>
    <row r="578" spans="3:12" ht="15.75" customHeight="1">
      <c r="C578" s="13"/>
      <c r="K578" s="2"/>
      <c r="L578" s="2"/>
    </row>
    <row r="579" spans="3:12" ht="15.75" customHeight="1">
      <c r="C579" s="13"/>
      <c r="K579" s="2"/>
      <c r="L579" s="2"/>
    </row>
    <row r="580" spans="3:12" ht="15.75" customHeight="1">
      <c r="C580" s="13"/>
      <c r="K580" s="2"/>
      <c r="L580" s="2"/>
    </row>
    <row r="581" spans="3:12" ht="15.75" customHeight="1">
      <c r="C581" s="13"/>
      <c r="K581" s="2"/>
      <c r="L581" s="2"/>
    </row>
    <row r="582" spans="3:12" ht="15.75" customHeight="1">
      <c r="C582" s="13"/>
      <c r="K582" s="2"/>
      <c r="L582" s="2"/>
    </row>
    <row r="583" spans="3:12" ht="15.75" customHeight="1">
      <c r="C583" s="13"/>
      <c r="K583" s="2"/>
      <c r="L583" s="2"/>
    </row>
    <row r="584" spans="3:12" ht="15.75" customHeight="1">
      <c r="C584" s="13"/>
      <c r="K584" s="2"/>
      <c r="L584" s="2"/>
    </row>
    <row r="585" spans="3:12" ht="15.75" customHeight="1">
      <c r="C585" s="13"/>
      <c r="K585" s="2"/>
      <c r="L585" s="2"/>
    </row>
    <row r="586" spans="3:12" ht="15.75" customHeight="1">
      <c r="C586" s="13"/>
      <c r="K586" s="2"/>
      <c r="L586" s="2"/>
    </row>
    <row r="587" spans="3:12" ht="15.75" customHeight="1">
      <c r="C587" s="13"/>
      <c r="K587" s="2"/>
      <c r="L587" s="2"/>
    </row>
    <row r="588" spans="3:12" ht="15.75" customHeight="1">
      <c r="C588" s="13"/>
      <c r="K588" s="2"/>
      <c r="L588" s="2"/>
    </row>
    <row r="589" spans="3:12" ht="15.75" customHeight="1">
      <c r="C589" s="13"/>
      <c r="K589" s="2"/>
      <c r="L589" s="2"/>
    </row>
    <row r="590" spans="3:12" ht="15.75" customHeight="1">
      <c r="C590" s="13"/>
      <c r="K590" s="2"/>
      <c r="L590" s="2"/>
    </row>
    <row r="591" spans="3:12" ht="15.75" customHeight="1">
      <c r="C591" s="13"/>
      <c r="K591" s="2"/>
      <c r="L591" s="2"/>
    </row>
    <row r="592" spans="3:12" ht="15.75" customHeight="1">
      <c r="C592" s="13"/>
      <c r="K592" s="2"/>
      <c r="L592" s="2"/>
    </row>
    <row r="593" spans="3:12" ht="15.75" customHeight="1">
      <c r="C593" s="13"/>
      <c r="K593" s="2"/>
      <c r="L593" s="2"/>
    </row>
    <row r="594" spans="3:12" ht="15.75" customHeight="1">
      <c r="C594" s="13"/>
      <c r="K594" s="2"/>
      <c r="L594" s="2"/>
    </row>
    <row r="595" spans="3:12" ht="15.75" customHeight="1">
      <c r="C595" s="13"/>
      <c r="K595" s="2"/>
      <c r="L595" s="2"/>
    </row>
    <row r="596" spans="3:12" ht="15.75" customHeight="1">
      <c r="C596" s="13"/>
      <c r="K596" s="2"/>
      <c r="L596" s="2"/>
    </row>
    <row r="597" spans="3:12" ht="15.75" customHeight="1">
      <c r="C597" s="13"/>
      <c r="K597" s="2"/>
      <c r="L597" s="2"/>
    </row>
    <row r="598" spans="3:12" ht="15.75" customHeight="1">
      <c r="C598" s="13"/>
      <c r="K598" s="2"/>
      <c r="L598" s="2"/>
    </row>
    <row r="599" spans="3:12" ht="15.75" customHeight="1">
      <c r="C599" s="13"/>
      <c r="K599" s="2"/>
      <c r="L599" s="2"/>
    </row>
    <row r="600" spans="3:12" ht="15.75" customHeight="1">
      <c r="C600" s="13"/>
      <c r="K600" s="2"/>
      <c r="L600" s="2"/>
    </row>
    <row r="601" spans="3:12" ht="15.75" customHeight="1">
      <c r="C601" s="13"/>
      <c r="K601" s="2"/>
      <c r="L601" s="2"/>
    </row>
    <row r="602" spans="3:12" ht="15.75" customHeight="1">
      <c r="C602" s="13"/>
      <c r="K602" s="2"/>
      <c r="L602" s="2"/>
    </row>
    <row r="603" spans="3:12" ht="15.75" customHeight="1">
      <c r="C603" s="13"/>
      <c r="K603" s="2"/>
      <c r="L603" s="2"/>
    </row>
    <row r="604" spans="3:12" ht="15.75" customHeight="1">
      <c r="C604" s="13"/>
      <c r="K604" s="2"/>
      <c r="L604" s="2"/>
    </row>
    <row r="605" spans="3:12" ht="15.75" customHeight="1">
      <c r="C605" s="13"/>
      <c r="K605" s="2"/>
      <c r="L605" s="2"/>
    </row>
    <row r="606" spans="3:12" ht="15.75" customHeight="1">
      <c r="C606" s="13"/>
      <c r="K606" s="2"/>
      <c r="L606" s="2"/>
    </row>
    <row r="607" spans="3:12" ht="15.75" customHeight="1">
      <c r="C607" s="13"/>
      <c r="K607" s="2"/>
      <c r="L607" s="2"/>
    </row>
    <row r="608" spans="3:12" ht="15.75" customHeight="1">
      <c r="C608" s="13"/>
      <c r="K608" s="2"/>
      <c r="L608" s="2"/>
    </row>
    <row r="609" spans="3:12" ht="15.75" customHeight="1">
      <c r="C609" s="13"/>
      <c r="K609" s="2"/>
      <c r="L609" s="2"/>
    </row>
    <row r="610" spans="3:12" ht="15.75" customHeight="1">
      <c r="C610" s="13"/>
      <c r="K610" s="2"/>
      <c r="L610" s="2"/>
    </row>
    <row r="611" spans="3:12" ht="15.75" customHeight="1">
      <c r="C611" s="13"/>
      <c r="K611" s="2"/>
      <c r="L611" s="2"/>
    </row>
    <row r="612" spans="3:12" ht="15.75" customHeight="1">
      <c r="C612" s="13"/>
      <c r="K612" s="2"/>
      <c r="L612" s="2"/>
    </row>
    <row r="613" spans="3:12" ht="15.75" customHeight="1">
      <c r="C613" s="13"/>
      <c r="K613" s="2"/>
      <c r="L613" s="2"/>
    </row>
    <row r="614" spans="3:12" ht="15.75" customHeight="1">
      <c r="C614" s="13"/>
      <c r="K614" s="2"/>
      <c r="L614" s="2"/>
    </row>
    <row r="615" spans="3:12" ht="15.75" customHeight="1">
      <c r="C615" s="13"/>
      <c r="K615" s="2"/>
      <c r="L615" s="2"/>
    </row>
    <row r="616" spans="3:12" ht="15.75" customHeight="1">
      <c r="C616" s="13"/>
      <c r="K616" s="2"/>
      <c r="L616" s="2"/>
    </row>
    <row r="617" spans="3:12" ht="15.75" customHeight="1">
      <c r="C617" s="13"/>
      <c r="K617" s="2"/>
      <c r="L617" s="2"/>
    </row>
    <row r="618" spans="3:12" ht="15.75" customHeight="1">
      <c r="C618" s="13"/>
      <c r="K618" s="2"/>
      <c r="L618" s="2"/>
    </row>
    <row r="619" spans="3:12" ht="15.75" customHeight="1">
      <c r="C619" s="13"/>
      <c r="K619" s="2"/>
      <c r="L619" s="2"/>
    </row>
    <row r="620" spans="3:12" ht="15.75" customHeight="1">
      <c r="C620" s="13"/>
      <c r="K620" s="2"/>
      <c r="L620" s="2"/>
    </row>
    <row r="621" spans="3:12" ht="15.75" customHeight="1">
      <c r="C621" s="13"/>
      <c r="K621" s="2"/>
      <c r="L621" s="2"/>
    </row>
    <row r="622" spans="3:12" ht="15.75" customHeight="1">
      <c r="C622" s="13"/>
      <c r="K622" s="2"/>
      <c r="L622" s="2"/>
    </row>
    <row r="623" spans="3:12" ht="15.75" customHeight="1">
      <c r="C623" s="13"/>
      <c r="K623" s="2"/>
      <c r="L623" s="2"/>
    </row>
    <row r="624" spans="3:12" ht="15.75" customHeight="1">
      <c r="C624" s="13"/>
      <c r="K624" s="2"/>
      <c r="L624" s="2"/>
    </row>
    <row r="625" spans="3:12" ht="15.75" customHeight="1">
      <c r="C625" s="13"/>
      <c r="K625" s="2"/>
      <c r="L625" s="2"/>
    </row>
    <row r="626" spans="3:12" ht="15.75" customHeight="1">
      <c r="C626" s="13"/>
      <c r="K626" s="2"/>
      <c r="L626" s="2"/>
    </row>
    <row r="627" spans="3:12" ht="15.75" customHeight="1">
      <c r="C627" s="13"/>
      <c r="K627" s="2"/>
      <c r="L627" s="2"/>
    </row>
    <row r="628" spans="3:12" ht="15.75" customHeight="1">
      <c r="C628" s="13"/>
      <c r="K628" s="2"/>
      <c r="L628" s="2"/>
    </row>
    <row r="629" spans="3:12" ht="15.75" customHeight="1">
      <c r="C629" s="13"/>
      <c r="K629" s="2"/>
      <c r="L629" s="2"/>
    </row>
    <row r="630" spans="3:12" ht="15.75" customHeight="1">
      <c r="C630" s="13"/>
      <c r="K630" s="2"/>
      <c r="L630" s="2"/>
    </row>
    <row r="631" spans="3:12" ht="15.75" customHeight="1">
      <c r="C631" s="13"/>
      <c r="K631" s="2"/>
      <c r="L631" s="2"/>
    </row>
    <row r="632" spans="3:12" ht="15.75" customHeight="1">
      <c r="C632" s="13"/>
      <c r="K632" s="2"/>
      <c r="L632" s="2"/>
    </row>
    <row r="633" spans="3:12" ht="15.75" customHeight="1">
      <c r="C633" s="13"/>
      <c r="K633" s="2"/>
      <c r="L633" s="2"/>
    </row>
    <row r="634" spans="3:12" ht="15.75" customHeight="1">
      <c r="C634" s="13"/>
      <c r="K634" s="2"/>
      <c r="L634" s="2"/>
    </row>
    <row r="635" spans="3:12" ht="15.75" customHeight="1">
      <c r="C635" s="13"/>
      <c r="K635" s="2"/>
      <c r="L635" s="2"/>
    </row>
    <row r="636" spans="3:12" ht="15.75" customHeight="1">
      <c r="C636" s="13"/>
      <c r="K636" s="2"/>
      <c r="L636" s="2"/>
    </row>
    <row r="637" spans="3:12" ht="15.75" customHeight="1">
      <c r="C637" s="13"/>
      <c r="K637" s="2"/>
      <c r="L637" s="2"/>
    </row>
    <row r="638" spans="3:12" ht="15.75" customHeight="1">
      <c r="C638" s="13"/>
      <c r="K638" s="2"/>
      <c r="L638" s="2"/>
    </row>
    <row r="639" spans="3:12" ht="15.75" customHeight="1">
      <c r="C639" s="13"/>
      <c r="K639" s="2"/>
      <c r="L639" s="2"/>
    </row>
    <row r="640" spans="3:12" ht="15.75" customHeight="1">
      <c r="C640" s="13"/>
      <c r="K640" s="2"/>
      <c r="L640" s="2"/>
    </row>
    <row r="641" spans="3:12" ht="15.75" customHeight="1">
      <c r="C641" s="13"/>
      <c r="K641" s="2"/>
      <c r="L641" s="2"/>
    </row>
    <row r="642" spans="3:12" ht="15.75" customHeight="1">
      <c r="C642" s="13"/>
      <c r="K642" s="2"/>
      <c r="L642" s="2"/>
    </row>
    <row r="643" spans="3:12" ht="15.75" customHeight="1">
      <c r="C643" s="13"/>
      <c r="K643" s="2"/>
      <c r="L643" s="2"/>
    </row>
    <row r="644" spans="3:12" ht="15.75" customHeight="1">
      <c r="C644" s="13"/>
      <c r="K644" s="2"/>
      <c r="L644" s="2"/>
    </row>
    <row r="645" spans="3:12" ht="15.75" customHeight="1">
      <c r="C645" s="13"/>
      <c r="K645" s="2"/>
      <c r="L645" s="2"/>
    </row>
    <row r="646" spans="3:12" ht="15.75" customHeight="1">
      <c r="C646" s="13"/>
      <c r="K646" s="2"/>
      <c r="L646" s="2"/>
    </row>
    <row r="647" spans="3:12" ht="15.75" customHeight="1">
      <c r="C647" s="13"/>
      <c r="K647" s="2"/>
      <c r="L647" s="2"/>
    </row>
    <row r="648" spans="3:12" ht="15.75" customHeight="1">
      <c r="C648" s="13"/>
      <c r="K648" s="2"/>
      <c r="L648" s="2"/>
    </row>
    <row r="649" spans="3:12" ht="15.75" customHeight="1">
      <c r="C649" s="13"/>
      <c r="K649" s="2"/>
      <c r="L649" s="2"/>
    </row>
    <row r="650" spans="3:12" ht="15.75" customHeight="1">
      <c r="C650" s="13"/>
      <c r="K650" s="2"/>
      <c r="L650" s="2"/>
    </row>
    <row r="651" spans="3:12" ht="15.75" customHeight="1">
      <c r="C651" s="13"/>
      <c r="K651" s="2"/>
      <c r="L651" s="2"/>
    </row>
    <row r="652" spans="3:12" ht="15.75" customHeight="1">
      <c r="C652" s="13"/>
      <c r="K652" s="2"/>
      <c r="L652" s="2"/>
    </row>
    <row r="653" spans="3:12" ht="15.75" customHeight="1">
      <c r="C653" s="13"/>
      <c r="K653" s="2"/>
      <c r="L653" s="2"/>
    </row>
    <row r="654" spans="3:12" ht="15.75" customHeight="1">
      <c r="C654" s="13"/>
      <c r="K654" s="2"/>
      <c r="L654" s="2"/>
    </row>
    <row r="655" spans="3:12" ht="15.75" customHeight="1">
      <c r="C655" s="13"/>
      <c r="K655" s="2"/>
      <c r="L655" s="2"/>
    </row>
    <row r="656" spans="3:12" ht="15.75" customHeight="1">
      <c r="C656" s="13"/>
      <c r="K656" s="2"/>
      <c r="L656" s="2"/>
    </row>
    <row r="657" spans="3:12" ht="15.75" customHeight="1">
      <c r="C657" s="13"/>
      <c r="K657" s="2"/>
      <c r="L657" s="2"/>
    </row>
    <row r="658" spans="3:12" ht="15.75" customHeight="1">
      <c r="C658" s="13"/>
      <c r="K658" s="2"/>
      <c r="L658" s="2"/>
    </row>
    <row r="659" spans="3:12" ht="15.75" customHeight="1">
      <c r="C659" s="13"/>
      <c r="K659" s="2"/>
      <c r="L659" s="2"/>
    </row>
    <row r="660" spans="3:12" ht="15.75" customHeight="1">
      <c r="C660" s="13"/>
      <c r="K660" s="2"/>
      <c r="L660" s="2"/>
    </row>
    <row r="661" spans="3:12" ht="15.75" customHeight="1">
      <c r="C661" s="13"/>
      <c r="K661" s="2"/>
      <c r="L661" s="2"/>
    </row>
    <row r="662" spans="3:12" ht="15.75" customHeight="1">
      <c r="C662" s="13"/>
      <c r="K662" s="2"/>
      <c r="L662" s="2"/>
    </row>
    <row r="663" spans="3:12" ht="15.75" customHeight="1">
      <c r="C663" s="13"/>
      <c r="K663" s="2"/>
      <c r="L663" s="2"/>
    </row>
    <row r="664" spans="3:12" ht="15.75" customHeight="1">
      <c r="C664" s="13"/>
      <c r="K664" s="2"/>
      <c r="L664" s="2"/>
    </row>
    <row r="665" spans="3:12" ht="15.75" customHeight="1">
      <c r="C665" s="13"/>
      <c r="K665" s="2"/>
      <c r="L665" s="2"/>
    </row>
    <row r="666" spans="3:12" ht="15.75" customHeight="1">
      <c r="C666" s="13"/>
      <c r="K666" s="2"/>
      <c r="L666" s="2"/>
    </row>
    <row r="667" spans="3:12" ht="15.75" customHeight="1">
      <c r="C667" s="13"/>
      <c r="K667" s="2"/>
      <c r="L667" s="2"/>
    </row>
    <row r="668" spans="3:12" ht="15.75" customHeight="1">
      <c r="C668" s="13"/>
      <c r="K668" s="2"/>
      <c r="L668" s="2"/>
    </row>
    <row r="669" spans="3:12" ht="15.75" customHeight="1">
      <c r="C669" s="13"/>
      <c r="K669" s="2"/>
      <c r="L669" s="2"/>
    </row>
    <row r="670" spans="3:12" ht="15.75" customHeight="1">
      <c r="C670" s="13"/>
      <c r="K670" s="2"/>
      <c r="L670" s="2"/>
    </row>
    <row r="671" spans="3:12" ht="15.75" customHeight="1">
      <c r="C671" s="13"/>
      <c r="K671" s="2"/>
      <c r="L671" s="2"/>
    </row>
    <row r="672" spans="3:12" ht="15.75" customHeight="1">
      <c r="C672" s="13"/>
      <c r="K672" s="2"/>
      <c r="L672" s="2"/>
    </row>
    <row r="673" spans="3:12" ht="15.75" customHeight="1">
      <c r="C673" s="13"/>
      <c r="K673" s="2"/>
      <c r="L673" s="2"/>
    </row>
    <row r="674" spans="3:12" ht="15.75" customHeight="1">
      <c r="C674" s="13"/>
      <c r="K674" s="2"/>
      <c r="L674" s="2"/>
    </row>
    <row r="675" spans="3:12" ht="15.75" customHeight="1">
      <c r="C675" s="13"/>
      <c r="K675" s="2"/>
      <c r="L675" s="2"/>
    </row>
    <row r="676" spans="3:12" ht="15.75" customHeight="1">
      <c r="C676" s="13"/>
      <c r="K676" s="2"/>
      <c r="L676" s="2"/>
    </row>
    <row r="677" spans="3:12" ht="15.75" customHeight="1">
      <c r="C677" s="13"/>
      <c r="K677" s="2"/>
      <c r="L677" s="2"/>
    </row>
    <row r="678" spans="3:12" ht="15.75" customHeight="1">
      <c r="C678" s="13"/>
      <c r="K678" s="2"/>
      <c r="L678" s="2"/>
    </row>
    <row r="679" spans="3:12" ht="15.75" customHeight="1">
      <c r="C679" s="13"/>
      <c r="K679" s="2"/>
      <c r="L679" s="2"/>
    </row>
    <row r="680" spans="3:12" ht="15.75" customHeight="1">
      <c r="C680" s="13"/>
      <c r="K680" s="2"/>
      <c r="L680" s="2"/>
    </row>
    <row r="681" spans="3:12" ht="15.75" customHeight="1">
      <c r="C681" s="13"/>
      <c r="K681" s="2"/>
      <c r="L681" s="2"/>
    </row>
    <row r="682" spans="3:12" ht="15.75" customHeight="1">
      <c r="C682" s="13"/>
      <c r="K682" s="2"/>
      <c r="L682" s="2"/>
    </row>
    <row r="683" spans="3:12" ht="15.75" customHeight="1">
      <c r="C683" s="13"/>
      <c r="K683" s="2"/>
      <c r="L683" s="2"/>
    </row>
    <row r="684" spans="3:12" ht="15.75" customHeight="1">
      <c r="C684" s="13"/>
      <c r="K684" s="2"/>
      <c r="L684" s="2"/>
    </row>
    <row r="685" spans="3:12" ht="15.75" customHeight="1">
      <c r="C685" s="13"/>
      <c r="K685" s="2"/>
      <c r="L685" s="2"/>
    </row>
    <row r="686" spans="3:12" ht="15.75" customHeight="1">
      <c r="C686" s="13"/>
      <c r="K686" s="2"/>
      <c r="L686" s="2"/>
    </row>
    <row r="687" spans="3:12" ht="15.75" customHeight="1">
      <c r="C687" s="13"/>
      <c r="K687" s="2"/>
      <c r="L687" s="2"/>
    </row>
    <row r="688" spans="3:12" ht="15.75" customHeight="1">
      <c r="C688" s="13"/>
      <c r="K688" s="2"/>
      <c r="L688" s="2"/>
    </row>
    <row r="689" spans="3:12" ht="15.75" customHeight="1">
      <c r="C689" s="13"/>
      <c r="K689" s="2"/>
      <c r="L689" s="2"/>
    </row>
    <row r="690" spans="3:12" ht="15.75" customHeight="1">
      <c r="C690" s="13"/>
      <c r="K690" s="2"/>
      <c r="L690" s="2"/>
    </row>
    <row r="691" spans="3:12" ht="15.75" customHeight="1">
      <c r="C691" s="13"/>
      <c r="K691" s="2"/>
      <c r="L691" s="2"/>
    </row>
    <row r="692" spans="3:12" ht="15.75" customHeight="1">
      <c r="C692" s="13"/>
      <c r="K692" s="2"/>
      <c r="L692" s="2"/>
    </row>
    <row r="693" spans="3:12" ht="15.75" customHeight="1">
      <c r="C693" s="13"/>
      <c r="K693" s="2"/>
      <c r="L693" s="2"/>
    </row>
    <row r="694" spans="3:12" ht="15.75" customHeight="1">
      <c r="C694" s="13"/>
      <c r="K694" s="2"/>
      <c r="L694" s="2"/>
    </row>
    <row r="695" spans="3:12" ht="15.75" customHeight="1">
      <c r="C695" s="13"/>
      <c r="K695" s="2"/>
      <c r="L695" s="2"/>
    </row>
    <row r="696" spans="3:12" ht="15.75" customHeight="1">
      <c r="C696" s="13"/>
      <c r="K696" s="2"/>
      <c r="L696" s="2"/>
    </row>
    <row r="697" spans="3:12" ht="15.75" customHeight="1">
      <c r="C697" s="13"/>
      <c r="K697" s="2"/>
      <c r="L697" s="2"/>
    </row>
    <row r="698" spans="3:12" ht="15.75" customHeight="1">
      <c r="C698" s="13"/>
      <c r="K698" s="2"/>
      <c r="L698" s="2"/>
    </row>
    <row r="699" spans="3:12" ht="15.75" customHeight="1">
      <c r="C699" s="13"/>
      <c r="K699" s="2"/>
      <c r="L699" s="2"/>
    </row>
    <row r="700" spans="3:12" ht="15.75" customHeight="1">
      <c r="C700" s="13"/>
      <c r="K700" s="2"/>
      <c r="L700" s="2"/>
    </row>
    <row r="701" spans="3:12" ht="15.75" customHeight="1">
      <c r="C701" s="13"/>
      <c r="K701" s="2"/>
      <c r="L701" s="2"/>
    </row>
    <row r="702" spans="3:12" ht="15.75" customHeight="1">
      <c r="C702" s="13"/>
      <c r="K702" s="2"/>
      <c r="L702" s="2"/>
    </row>
    <row r="703" spans="3:12" ht="15.75" customHeight="1">
      <c r="C703" s="13"/>
      <c r="K703" s="2"/>
      <c r="L703" s="2"/>
    </row>
    <row r="704" spans="3:12" ht="15.75" customHeight="1">
      <c r="C704" s="13"/>
      <c r="K704" s="2"/>
      <c r="L704" s="2"/>
    </row>
    <row r="705" spans="3:12" ht="15.75" customHeight="1">
      <c r="C705" s="13"/>
      <c r="K705" s="2"/>
      <c r="L705" s="2"/>
    </row>
    <row r="706" spans="3:12" ht="15.75" customHeight="1">
      <c r="C706" s="13"/>
      <c r="K706" s="2"/>
      <c r="L706" s="2"/>
    </row>
    <row r="707" spans="3:12" ht="15.75" customHeight="1">
      <c r="C707" s="13"/>
      <c r="K707" s="2"/>
      <c r="L707" s="2"/>
    </row>
    <row r="708" spans="3:12" ht="15.75" customHeight="1">
      <c r="C708" s="13"/>
      <c r="K708" s="2"/>
      <c r="L708" s="2"/>
    </row>
    <row r="709" spans="3:12" ht="15.75" customHeight="1">
      <c r="C709" s="13"/>
      <c r="K709" s="2"/>
      <c r="L709" s="2"/>
    </row>
    <row r="710" spans="3:12" ht="15.75" customHeight="1">
      <c r="C710" s="13"/>
      <c r="K710" s="2"/>
      <c r="L710" s="2"/>
    </row>
    <row r="711" spans="3:12" ht="15.75" customHeight="1">
      <c r="C711" s="13"/>
      <c r="K711" s="2"/>
      <c r="L711" s="2"/>
    </row>
    <row r="712" spans="3:12" ht="15.75" customHeight="1">
      <c r="C712" s="13"/>
      <c r="K712" s="2"/>
      <c r="L712" s="2"/>
    </row>
    <row r="713" spans="3:12" ht="15.75" customHeight="1">
      <c r="C713" s="13"/>
      <c r="K713" s="2"/>
      <c r="L713" s="2"/>
    </row>
    <row r="714" spans="3:12" ht="15.75" customHeight="1">
      <c r="C714" s="13"/>
      <c r="K714" s="2"/>
      <c r="L714" s="2"/>
    </row>
    <row r="715" spans="3:12" ht="15.75" customHeight="1">
      <c r="C715" s="13"/>
      <c r="K715" s="2"/>
      <c r="L715" s="2"/>
    </row>
    <row r="716" spans="3:12" ht="15.75" customHeight="1">
      <c r="C716" s="13"/>
      <c r="K716" s="2"/>
      <c r="L716" s="2"/>
    </row>
    <row r="717" spans="3:12" ht="15.75" customHeight="1">
      <c r="C717" s="13"/>
      <c r="K717" s="2"/>
      <c r="L717" s="2"/>
    </row>
    <row r="718" spans="3:12" ht="15.75" customHeight="1">
      <c r="C718" s="13"/>
      <c r="K718" s="2"/>
      <c r="L718" s="2"/>
    </row>
    <row r="719" spans="3:12" ht="15.75" customHeight="1">
      <c r="C719" s="13"/>
      <c r="K719" s="2"/>
      <c r="L719" s="2"/>
    </row>
    <row r="720" spans="3:12" ht="15.75" customHeight="1">
      <c r="C720" s="13"/>
      <c r="K720" s="2"/>
      <c r="L720" s="2"/>
    </row>
    <row r="721" spans="3:12" ht="15.75" customHeight="1">
      <c r="C721" s="13"/>
      <c r="K721" s="2"/>
      <c r="L721" s="2"/>
    </row>
    <row r="722" spans="3:12" ht="15.75" customHeight="1">
      <c r="C722" s="13"/>
      <c r="K722" s="2"/>
      <c r="L722" s="2"/>
    </row>
    <row r="723" spans="3:12" ht="15.75" customHeight="1">
      <c r="C723" s="13"/>
      <c r="K723" s="2"/>
      <c r="L723" s="2"/>
    </row>
    <row r="724" spans="3:12" ht="15.75" customHeight="1">
      <c r="C724" s="13"/>
      <c r="K724" s="2"/>
      <c r="L724" s="2"/>
    </row>
    <row r="725" spans="3:12" ht="15.75" customHeight="1">
      <c r="C725" s="13"/>
      <c r="K725" s="2"/>
      <c r="L725" s="2"/>
    </row>
    <row r="726" spans="3:12" ht="15.75" customHeight="1">
      <c r="C726" s="13"/>
      <c r="K726" s="2"/>
      <c r="L726" s="2"/>
    </row>
    <row r="727" spans="3:12" ht="15.75" customHeight="1">
      <c r="C727" s="13"/>
      <c r="K727" s="2"/>
      <c r="L727" s="2"/>
    </row>
    <row r="728" spans="3:12" ht="15.75" customHeight="1">
      <c r="C728" s="13"/>
      <c r="K728" s="2"/>
      <c r="L728" s="2"/>
    </row>
    <row r="729" spans="3:12" ht="15.75" customHeight="1">
      <c r="C729" s="13"/>
      <c r="K729" s="2"/>
      <c r="L729" s="2"/>
    </row>
    <row r="730" spans="3:12" ht="15.75" customHeight="1">
      <c r="C730" s="13"/>
      <c r="K730" s="2"/>
      <c r="L730" s="2"/>
    </row>
    <row r="731" spans="3:12" ht="15.75" customHeight="1">
      <c r="C731" s="13"/>
      <c r="K731" s="2"/>
      <c r="L731" s="2"/>
    </row>
    <row r="732" spans="3:12" ht="15.75" customHeight="1">
      <c r="C732" s="13"/>
      <c r="K732" s="2"/>
      <c r="L732" s="2"/>
    </row>
    <row r="733" spans="3:12" ht="15.75" customHeight="1">
      <c r="C733" s="13"/>
      <c r="K733" s="2"/>
      <c r="L733" s="2"/>
    </row>
    <row r="734" spans="3:12" ht="15.75" customHeight="1">
      <c r="C734" s="13"/>
      <c r="K734" s="2"/>
      <c r="L734" s="2"/>
    </row>
    <row r="735" spans="3:12" ht="15.75" customHeight="1">
      <c r="C735" s="13"/>
      <c r="K735" s="2"/>
      <c r="L735" s="2"/>
    </row>
    <row r="736" spans="3:12" ht="15.75" customHeight="1">
      <c r="C736" s="13"/>
      <c r="K736" s="2"/>
      <c r="L736" s="2"/>
    </row>
    <row r="737" spans="3:12" ht="15.75" customHeight="1">
      <c r="C737" s="13"/>
      <c r="K737" s="2"/>
      <c r="L737" s="2"/>
    </row>
    <row r="738" spans="3:12" ht="15.75" customHeight="1">
      <c r="C738" s="13"/>
      <c r="K738" s="2"/>
      <c r="L738" s="2"/>
    </row>
    <row r="739" spans="3:12" ht="15.75" customHeight="1">
      <c r="C739" s="13"/>
      <c r="K739" s="2"/>
      <c r="L739" s="2"/>
    </row>
    <row r="740" spans="3:12" ht="15.75" customHeight="1">
      <c r="C740" s="13"/>
      <c r="K740" s="2"/>
      <c r="L740" s="2"/>
    </row>
    <row r="741" spans="3:12" ht="15.75" customHeight="1">
      <c r="C741" s="13"/>
      <c r="K741" s="2"/>
      <c r="L741" s="2"/>
    </row>
    <row r="742" spans="3:12" ht="15.75" customHeight="1">
      <c r="C742" s="13"/>
      <c r="K742" s="2"/>
      <c r="L742" s="2"/>
    </row>
    <row r="743" spans="3:12" ht="15.75" customHeight="1">
      <c r="C743" s="13"/>
      <c r="K743" s="2"/>
      <c r="L743" s="2"/>
    </row>
    <row r="744" spans="3:12" ht="15.75" customHeight="1">
      <c r="C744" s="13"/>
      <c r="K744" s="2"/>
      <c r="L744" s="2"/>
    </row>
    <row r="745" spans="3:12" ht="15.75" customHeight="1">
      <c r="C745" s="13"/>
      <c r="K745" s="2"/>
      <c r="L745" s="2"/>
    </row>
    <row r="746" spans="3:12" ht="15.75" customHeight="1">
      <c r="C746" s="13"/>
      <c r="K746" s="2"/>
      <c r="L746" s="2"/>
    </row>
    <row r="747" spans="3:12" ht="15.75" customHeight="1">
      <c r="C747" s="13"/>
      <c r="K747" s="2"/>
      <c r="L747" s="2"/>
    </row>
    <row r="748" spans="3:12" ht="15.75" customHeight="1">
      <c r="C748" s="13"/>
      <c r="K748" s="2"/>
      <c r="L748" s="2"/>
    </row>
    <row r="749" spans="3:12" ht="15.75" customHeight="1">
      <c r="C749" s="13"/>
      <c r="K749" s="2"/>
      <c r="L749" s="2"/>
    </row>
    <row r="750" spans="3:12" ht="15.75" customHeight="1">
      <c r="C750" s="13"/>
      <c r="K750" s="2"/>
      <c r="L750" s="2"/>
    </row>
    <row r="751" spans="3:12" ht="15.75" customHeight="1">
      <c r="C751" s="13"/>
      <c r="K751" s="2"/>
      <c r="L751" s="2"/>
    </row>
    <row r="752" spans="3:12" ht="15.75" customHeight="1">
      <c r="C752" s="13"/>
      <c r="K752" s="2"/>
      <c r="L752" s="2"/>
    </row>
    <row r="753" spans="3:12" ht="15.75" customHeight="1">
      <c r="C753" s="13"/>
      <c r="K753" s="2"/>
      <c r="L753" s="2"/>
    </row>
    <row r="754" spans="3:12" ht="15.75" customHeight="1">
      <c r="C754" s="13"/>
      <c r="K754" s="2"/>
      <c r="L754" s="2"/>
    </row>
    <row r="755" spans="3:12" ht="15.75" customHeight="1">
      <c r="C755" s="13"/>
      <c r="K755" s="2"/>
      <c r="L755" s="2"/>
    </row>
    <row r="756" spans="3:12" ht="15.75" customHeight="1">
      <c r="C756" s="13"/>
      <c r="K756" s="2"/>
      <c r="L756" s="2"/>
    </row>
    <row r="757" spans="3:12" ht="15.75" customHeight="1">
      <c r="C757" s="13"/>
      <c r="K757" s="2"/>
      <c r="L757" s="2"/>
    </row>
    <row r="758" spans="3:12" ht="15.75" customHeight="1">
      <c r="C758" s="13"/>
      <c r="K758" s="2"/>
      <c r="L758" s="2"/>
    </row>
    <row r="759" spans="3:12" ht="15.75" customHeight="1">
      <c r="C759" s="13"/>
      <c r="K759" s="2"/>
      <c r="L759" s="2"/>
    </row>
    <row r="760" spans="3:12" ht="15.75" customHeight="1">
      <c r="C760" s="13"/>
      <c r="K760" s="2"/>
      <c r="L760" s="2"/>
    </row>
    <row r="761" spans="3:12" ht="15.75" customHeight="1">
      <c r="C761" s="13"/>
      <c r="K761" s="2"/>
      <c r="L761" s="2"/>
    </row>
    <row r="762" spans="3:12" ht="15.75" customHeight="1">
      <c r="C762" s="13"/>
      <c r="K762" s="2"/>
      <c r="L762" s="2"/>
    </row>
    <row r="763" spans="3:12" ht="15.75" customHeight="1">
      <c r="C763" s="13"/>
      <c r="K763" s="2"/>
      <c r="L763" s="2"/>
    </row>
    <row r="764" spans="3:12" ht="15.75" customHeight="1">
      <c r="C764" s="13"/>
      <c r="K764" s="2"/>
      <c r="L764" s="2"/>
    </row>
    <row r="765" spans="3:12" ht="15.75" customHeight="1">
      <c r="C765" s="13"/>
      <c r="K765" s="2"/>
      <c r="L765" s="2"/>
    </row>
    <row r="766" spans="3:12" ht="15.75" customHeight="1">
      <c r="C766" s="13"/>
      <c r="K766" s="2"/>
      <c r="L766" s="2"/>
    </row>
    <row r="767" spans="3:12" ht="15.75" customHeight="1">
      <c r="C767" s="13"/>
      <c r="K767" s="2"/>
      <c r="L767" s="2"/>
    </row>
    <row r="768" spans="3:12" ht="14.4">
      <c r="C768" s="13"/>
    </row>
    <row r="769" spans="3:3" ht="14.4">
      <c r="C769" s="13"/>
    </row>
  </sheetData>
  <mergeCells count="6">
    <mergeCell ref="C73:N73"/>
    <mergeCell ref="F2:G5"/>
    <mergeCell ref="P4:R4"/>
    <mergeCell ref="P6:R6"/>
    <mergeCell ref="C7:N7"/>
    <mergeCell ref="C42:N42"/>
  </mergeCells>
  <phoneticPr fontId="18" type="noConversion"/>
  <hyperlinks>
    <hyperlink ref="N9" r:id="rId1"/>
    <hyperlink ref="N23" r:id="rId2"/>
    <hyperlink ref="N25" r:id="rId3"/>
    <hyperlink ref="N28:N29" r:id="rId4" display="https://drive.google.com/file/d/1YV_JtyO7cIOxaTAv86F5bUeB59aHMnqo/view?usp=drive_link"/>
    <hyperlink ref="N10:N21" r:id="rId5" display="https://drive.google.com/file/d/10soqlyXgQEDPWWWLKUGGJU4v5nEsQ2Vb/view?usp=drive_link"/>
    <hyperlink ref="N26:N28" r:id="rId6" display="https://drive.google.com/file/d/1YV_JtyO7cIOxaTAv86F5bUeB59aHMnqo/view?usp=drive_link"/>
    <hyperlink ref="N24" r:id="rId7"/>
    <hyperlink ref="N22" r:id="rId8"/>
  </hyperlinks>
  <pageMargins left="0.7" right="0.7" top="0.75" bottom="0.75" header="0" footer="0"/>
  <pageSetup orientation="landscape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R769"/>
  <sheetViews>
    <sheetView topLeftCell="D107" workbookViewId="0">
      <selection activeCell="D130" sqref="D130"/>
    </sheetView>
  </sheetViews>
  <sheetFormatPr baseColWidth="10" defaultColWidth="14.44140625" defaultRowHeight="15" customHeight="1"/>
  <cols>
    <col min="1" max="2" width="3.109375" customWidth="1"/>
    <col min="3" max="3" width="31.88671875" customWidth="1"/>
    <col min="4" max="5" width="4.88671875" customWidth="1"/>
    <col min="6" max="6" width="23.88671875" customWidth="1"/>
    <col min="7" max="7" width="10.6640625" customWidth="1"/>
    <col min="8" max="8" width="84.88671875" customWidth="1"/>
    <col min="9" max="9" width="15.44140625" customWidth="1"/>
    <col min="10" max="10" width="17.88671875" customWidth="1"/>
    <col min="11" max="11" width="20" customWidth="1"/>
    <col min="12" max="12" width="13.88671875" customWidth="1"/>
    <col min="13" max="13" width="18" customWidth="1"/>
    <col min="14" max="14" width="86.88671875" bestFit="1" customWidth="1"/>
    <col min="15" max="16" width="10.6640625" customWidth="1"/>
    <col min="17" max="17" width="22.44140625" customWidth="1"/>
    <col min="18" max="18" width="17.88671875" customWidth="1"/>
    <col min="19" max="26" width="10.6640625" customWidth="1"/>
  </cols>
  <sheetData>
    <row r="1" spans="3:18" ht="14.4">
      <c r="C1" s="13"/>
      <c r="G1" s="1"/>
      <c r="K1" s="2"/>
      <c r="L1" s="2"/>
    </row>
    <row r="2" spans="3:18" ht="14.4">
      <c r="C2" s="13"/>
      <c r="F2" s="167"/>
      <c r="G2" s="168"/>
      <c r="K2" s="2"/>
      <c r="L2" s="2"/>
    </row>
    <row r="3" spans="3:18" ht="14.4">
      <c r="C3" s="13"/>
      <c r="F3" s="169"/>
      <c r="G3" s="170"/>
      <c r="K3" s="2"/>
      <c r="L3" s="2"/>
    </row>
    <row r="4" spans="3:18" ht="14.4">
      <c r="C4" s="13"/>
      <c r="F4" s="169"/>
      <c r="G4" s="170"/>
      <c r="K4" s="2"/>
      <c r="L4" s="2"/>
      <c r="P4" s="173" t="s">
        <v>15</v>
      </c>
      <c r="Q4" s="165"/>
      <c r="R4" s="166"/>
    </row>
    <row r="5" spans="3:18" ht="14.4">
      <c r="C5" s="13"/>
      <c r="F5" s="171"/>
      <c r="G5" s="172"/>
      <c r="K5" s="2"/>
      <c r="L5" s="2"/>
    </row>
    <row r="6" spans="3:18" ht="15.6">
      <c r="C6" s="13"/>
      <c r="G6" s="1"/>
      <c r="K6" s="2"/>
      <c r="L6" s="2"/>
      <c r="P6" s="161" t="s">
        <v>127</v>
      </c>
      <c r="Q6" s="162"/>
      <c r="R6" s="163"/>
    </row>
    <row r="7" spans="3:18" ht="21">
      <c r="C7" s="164" t="s">
        <v>39</v>
      </c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6"/>
      <c r="P7" s="4" t="s">
        <v>1</v>
      </c>
      <c r="Q7" s="4" t="s">
        <v>2</v>
      </c>
      <c r="R7" s="4" t="s">
        <v>3</v>
      </c>
    </row>
    <row r="8" spans="3:18" ht="15.6">
      <c r="C8" s="14" t="s">
        <v>16</v>
      </c>
      <c r="D8" s="15" t="s">
        <v>17</v>
      </c>
      <c r="E8" s="16" t="s">
        <v>18</v>
      </c>
      <c r="F8" s="17" t="s">
        <v>19</v>
      </c>
      <c r="G8" s="17" t="s">
        <v>20</v>
      </c>
      <c r="H8" s="17" t="s">
        <v>21</v>
      </c>
      <c r="I8" s="17" t="s">
        <v>22</v>
      </c>
      <c r="J8" s="17" t="s">
        <v>2</v>
      </c>
      <c r="K8" s="18" t="s">
        <v>23</v>
      </c>
      <c r="L8" s="18" t="s">
        <v>24</v>
      </c>
      <c r="M8" s="17" t="s">
        <v>25</v>
      </c>
      <c r="N8" s="17" t="s">
        <v>26</v>
      </c>
      <c r="P8" s="6" t="s">
        <v>34</v>
      </c>
      <c r="Q8" s="7"/>
      <c r="R8" s="8"/>
    </row>
    <row r="9" spans="3:18" ht="14.4">
      <c r="C9" s="19">
        <v>46023</v>
      </c>
      <c r="D9" s="15" t="s">
        <v>17</v>
      </c>
      <c r="E9" s="20"/>
      <c r="F9" s="21"/>
      <c r="G9" s="21"/>
      <c r="H9" s="22" t="s">
        <v>43</v>
      </c>
      <c r="I9" s="23">
        <v>0</v>
      </c>
      <c r="J9" s="23"/>
      <c r="K9" s="23">
        <v>0</v>
      </c>
      <c r="L9" s="8"/>
      <c r="M9" s="21"/>
      <c r="N9" s="82" t="s">
        <v>115</v>
      </c>
      <c r="P9" s="6" t="s">
        <v>114</v>
      </c>
      <c r="Q9" s="7"/>
      <c r="R9" s="10"/>
    </row>
    <row r="10" spans="3:18" ht="14.4">
      <c r="C10" s="24">
        <v>46024</v>
      </c>
      <c r="D10" s="25"/>
      <c r="E10" s="16" t="s">
        <v>18</v>
      </c>
      <c r="F10" s="21"/>
      <c r="G10" s="26"/>
      <c r="H10" s="22" t="s">
        <v>49</v>
      </c>
      <c r="I10" s="21"/>
      <c r="J10" s="27"/>
      <c r="K10" s="7"/>
      <c r="L10" s="8"/>
      <c r="M10" s="21"/>
      <c r="N10" s="82" t="s">
        <v>115</v>
      </c>
      <c r="P10" s="6" t="s">
        <v>36</v>
      </c>
      <c r="Q10" s="7"/>
      <c r="R10" s="10"/>
    </row>
    <row r="11" spans="3:18" ht="14.4">
      <c r="C11" s="19">
        <v>46025</v>
      </c>
      <c r="D11" s="20"/>
      <c r="E11" s="16" t="s">
        <v>18</v>
      </c>
      <c r="F11" s="21"/>
      <c r="G11" s="21"/>
      <c r="H11" s="72" t="s">
        <v>53</v>
      </c>
      <c r="I11" s="21"/>
      <c r="J11" s="5"/>
      <c r="K11" s="7"/>
      <c r="L11" s="8"/>
      <c r="M11" s="21"/>
      <c r="N11" s="82" t="s">
        <v>116</v>
      </c>
      <c r="P11" s="6" t="s">
        <v>37</v>
      </c>
      <c r="Q11" s="7"/>
      <c r="R11" s="11"/>
    </row>
    <row r="12" spans="3:18" ht="14.4">
      <c r="C12" s="24">
        <v>46026</v>
      </c>
      <c r="D12" s="15" t="s">
        <v>17</v>
      </c>
      <c r="E12" s="25"/>
      <c r="F12" s="21"/>
      <c r="G12" s="21"/>
      <c r="H12" s="72" t="s">
        <v>56</v>
      </c>
      <c r="I12" s="21"/>
      <c r="J12" s="5"/>
      <c r="K12" s="7"/>
      <c r="L12" s="8"/>
      <c r="M12" s="21"/>
      <c r="N12" s="82" t="s">
        <v>116</v>
      </c>
      <c r="P12" s="6" t="s">
        <v>4</v>
      </c>
      <c r="Q12" s="7"/>
      <c r="R12" s="11"/>
    </row>
    <row r="13" spans="3:18" ht="14.4">
      <c r="C13" s="19">
        <v>46027</v>
      </c>
      <c r="D13" s="15" t="s">
        <v>17</v>
      </c>
      <c r="E13" s="20"/>
      <c r="F13" s="21"/>
      <c r="G13" s="21"/>
      <c r="H13" s="72" t="s">
        <v>55</v>
      </c>
      <c r="I13" s="21"/>
      <c r="J13" s="5"/>
      <c r="K13" s="7"/>
      <c r="L13" s="8"/>
      <c r="M13" s="21"/>
      <c r="N13" s="82" t="s">
        <v>117</v>
      </c>
      <c r="P13" s="6" t="s">
        <v>5</v>
      </c>
      <c r="Q13" s="7"/>
      <c r="R13" s="12"/>
    </row>
    <row r="14" spans="3:18" ht="14.4">
      <c r="C14" s="24">
        <v>46028</v>
      </c>
      <c r="D14" s="15" t="s">
        <v>17</v>
      </c>
      <c r="E14" s="25"/>
      <c r="F14" s="21"/>
      <c r="G14" s="21"/>
      <c r="H14" s="72" t="s">
        <v>53</v>
      </c>
      <c r="I14" s="21"/>
      <c r="J14" s="28"/>
      <c r="K14" s="7"/>
      <c r="L14" s="8"/>
      <c r="M14" s="21"/>
      <c r="N14" s="82" t="s">
        <v>117</v>
      </c>
      <c r="P14" s="6" t="s">
        <v>6</v>
      </c>
      <c r="Q14" s="7"/>
      <c r="R14" s="12"/>
    </row>
    <row r="15" spans="3:18" ht="14.4">
      <c r="C15" s="19">
        <v>46029</v>
      </c>
      <c r="D15" s="15" t="s">
        <v>17</v>
      </c>
      <c r="E15" s="20"/>
      <c r="F15" s="73"/>
      <c r="G15" s="73"/>
      <c r="H15" s="72" t="s">
        <v>62</v>
      </c>
      <c r="I15" s="21"/>
      <c r="J15" s="28"/>
      <c r="K15" s="7"/>
      <c r="L15" s="8"/>
      <c r="M15" s="21"/>
      <c r="N15" s="82" t="s">
        <v>118</v>
      </c>
      <c r="P15" s="6" t="s">
        <v>7</v>
      </c>
      <c r="Q15" s="7"/>
      <c r="R15" s="12"/>
    </row>
    <row r="16" spans="3:18" ht="14.4">
      <c r="C16" s="24">
        <v>46030</v>
      </c>
      <c r="D16" s="15" t="s">
        <v>17</v>
      </c>
      <c r="F16" s="74"/>
      <c r="G16" s="74"/>
      <c r="H16" s="72" t="s">
        <v>65</v>
      </c>
      <c r="I16" s="21"/>
      <c r="J16" s="27"/>
      <c r="K16" s="7"/>
      <c r="L16" s="8"/>
      <c r="M16" s="23"/>
      <c r="N16" s="82" t="s">
        <v>118</v>
      </c>
      <c r="P16" s="6" t="s">
        <v>8</v>
      </c>
      <c r="Q16" s="7"/>
      <c r="R16" s="12"/>
    </row>
    <row r="17" spans="3:18" ht="14.4">
      <c r="C17" s="19">
        <v>46031</v>
      </c>
      <c r="D17" s="15" t="s">
        <v>17</v>
      </c>
      <c r="E17" s="20"/>
      <c r="F17" s="30"/>
      <c r="G17" s="30"/>
      <c r="H17" s="72" t="s">
        <v>69</v>
      </c>
      <c r="I17" s="21"/>
      <c r="J17" s="28"/>
      <c r="K17" s="7"/>
      <c r="L17" s="8"/>
      <c r="M17" s="21"/>
      <c r="N17" s="82" t="s">
        <v>119</v>
      </c>
      <c r="P17" s="6" t="s">
        <v>9</v>
      </c>
      <c r="Q17" s="7"/>
      <c r="R17" s="12"/>
    </row>
    <row r="18" spans="3:18" ht="14.4">
      <c r="C18" s="24">
        <v>46032</v>
      </c>
      <c r="D18" s="15" t="s">
        <v>17</v>
      </c>
      <c r="E18" s="25"/>
      <c r="F18" s="21"/>
      <c r="G18" s="21"/>
      <c r="H18" s="72" t="s">
        <v>75</v>
      </c>
      <c r="I18" s="21"/>
      <c r="J18" s="27"/>
      <c r="K18" s="7"/>
      <c r="L18" s="8"/>
      <c r="M18" s="21"/>
      <c r="N18" s="82" t="s">
        <v>119</v>
      </c>
      <c r="P18" s="6" t="s">
        <v>10</v>
      </c>
      <c r="Q18" s="7"/>
      <c r="R18" s="12"/>
    </row>
    <row r="19" spans="3:18" ht="14.4">
      <c r="C19" s="19">
        <v>46033</v>
      </c>
      <c r="D19" s="15" t="s">
        <v>17</v>
      </c>
      <c r="E19" s="20"/>
      <c r="F19" s="21"/>
      <c r="G19" s="21"/>
      <c r="H19" s="72" t="s">
        <v>74</v>
      </c>
      <c r="I19" s="21"/>
      <c r="J19" s="28"/>
      <c r="K19" s="7"/>
      <c r="L19" s="8"/>
      <c r="M19" s="21"/>
      <c r="N19" s="82" t="s">
        <v>120</v>
      </c>
      <c r="P19" s="6" t="s">
        <v>11</v>
      </c>
      <c r="Q19" s="7"/>
      <c r="R19" s="12"/>
    </row>
    <row r="20" spans="3:18" ht="14.4">
      <c r="C20" s="24">
        <v>46034</v>
      </c>
      <c r="D20" s="15" t="s">
        <v>17</v>
      </c>
      <c r="E20" s="25"/>
      <c r="F20" s="21"/>
      <c r="G20" s="21"/>
      <c r="H20" s="72" t="s">
        <v>78</v>
      </c>
      <c r="I20" s="21"/>
      <c r="J20" s="28"/>
      <c r="K20" s="7"/>
      <c r="L20" s="8"/>
      <c r="M20" s="21"/>
      <c r="N20" s="82" t="s">
        <v>120</v>
      </c>
    </row>
    <row r="21" spans="3:18" ht="15.75" customHeight="1">
      <c r="C21" s="19">
        <v>46035</v>
      </c>
      <c r="D21" s="15" t="s">
        <v>17</v>
      </c>
      <c r="E21" s="20"/>
      <c r="F21" s="21"/>
      <c r="G21" s="21"/>
      <c r="H21" s="72" t="s">
        <v>82</v>
      </c>
      <c r="I21" s="21"/>
      <c r="J21" s="28"/>
      <c r="K21" s="7"/>
      <c r="L21" s="8"/>
      <c r="M21" s="21"/>
      <c r="N21" s="82" t="s">
        <v>121</v>
      </c>
    </row>
    <row r="22" spans="3:18" ht="15.75" customHeight="1">
      <c r="C22" s="24">
        <v>46036</v>
      </c>
      <c r="D22" s="15" t="s">
        <v>17</v>
      </c>
      <c r="E22" s="20"/>
      <c r="F22" s="21"/>
      <c r="G22" s="21"/>
      <c r="H22" s="72" t="s">
        <v>85</v>
      </c>
      <c r="I22" s="21"/>
      <c r="J22" s="28"/>
      <c r="K22" s="7"/>
      <c r="L22" s="8"/>
      <c r="M22" s="21"/>
      <c r="N22" s="82" t="s">
        <v>121</v>
      </c>
    </row>
    <row r="23" spans="3:18" ht="15.75" customHeight="1">
      <c r="C23" s="19">
        <v>46037</v>
      </c>
      <c r="D23" s="15" t="s">
        <v>17</v>
      </c>
      <c r="E23" s="20"/>
      <c r="F23" s="21"/>
      <c r="G23" s="21"/>
      <c r="H23" s="72" t="s">
        <v>90</v>
      </c>
      <c r="I23" s="21"/>
      <c r="J23" s="28"/>
      <c r="K23" s="7"/>
      <c r="L23" s="8"/>
      <c r="M23" s="21"/>
      <c r="N23" s="82" t="s">
        <v>122</v>
      </c>
    </row>
    <row r="24" spans="3:18" ht="15.75" customHeight="1">
      <c r="C24" s="24">
        <v>46038</v>
      </c>
      <c r="D24" s="15" t="s">
        <v>17</v>
      </c>
      <c r="E24" s="20"/>
      <c r="F24" s="21"/>
      <c r="G24" s="21"/>
      <c r="H24" s="72" t="s">
        <v>93</v>
      </c>
      <c r="I24" s="21"/>
      <c r="J24" s="28"/>
      <c r="K24" s="7"/>
      <c r="L24" s="8"/>
      <c r="M24" s="21"/>
      <c r="N24" s="82" t="s">
        <v>122</v>
      </c>
    </row>
    <row r="25" spans="3:18" ht="15.75" customHeight="1">
      <c r="C25" s="19">
        <v>46039</v>
      </c>
      <c r="D25" s="20"/>
      <c r="E25" s="16" t="s">
        <v>18</v>
      </c>
      <c r="F25" s="21"/>
      <c r="G25" s="21"/>
      <c r="H25" s="72" t="s">
        <v>95</v>
      </c>
      <c r="I25" s="21"/>
      <c r="J25" s="28"/>
      <c r="K25" s="7"/>
      <c r="L25" s="8"/>
      <c r="M25" s="21"/>
      <c r="N25" s="82" t="s">
        <v>123</v>
      </c>
    </row>
    <row r="26" spans="3:18" ht="15.75" customHeight="1">
      <c r="C26" s="24">
        <v>46040</v>
      </c>
      <c r="D26" s="15" t="s">
        <v>17</v>
      </c>
      <c r="E26" s="25"/>
      <c r="F26" s="21"/>
      <c r="G26" s="21"/>
      <c r="H26" s="72" t="s">
        <v>98</v>
      </c>
      <c r="I26" s="21"/>
      <c r="J26" s="27"/>
      <c r="K26" s="7"/>
      <c r="L26" s="8"/>
      <c r="M26" s="21"/>
      <c r="N26" s="82" t="s">
        <v>123</v>
      </c>
    </row>
    <row r="27" spans="3:18" ht="15.75" customHeight="1">
      <c r="C27" s="19">
        <v>46041</v>
      </c>
      <c r="D27" s="15" t="s">
        <v>17</v>
      </c>
      <c r="E27" s="20"/>
      <c r="F27" s="21"/>
      <c r="G27" s="21"/>
      <c r="H27" s="72" t="s">
        <v>99</v>
      </c>
      <c r="I27" s="21"/>
      <c r="J27" s="28"/>
      <c r="K27" s="7"/>
      <c r="L27" s="8"/>
      <c r="M27" s="21"/>
      <c r="N27" s="82" t="s">
        <v>124</v>
      </c>
    </row>
    <row r="28" spans="3:18" ht="15.75" customHeight="1">
      <c r="C28" s="24">
        <v>46042</v>
      </c>
      <c r="D28" s="15" t="s">
        <v>17</v>
      </c>
      <c r="E28" s="25"/>
      <c r="F28" s="21"/>
      <c r="G28" s="21"/>
      <c r="H28" s="72" t="s">
        <v>105</v>
      </c>
      <c r="I28" s="21"/>
      <c r="J28" s="28"/>
      <c r="K28" s="7"/>
      <c r="L28" s="8"/>
      <c r="M28" s="21"/>
      <c r="N28" s="82" t="s">
        <v>124</v>
      </c>
    </row>
    <row r="29" spans="3:18" ht="15.75" customHeight="1">
      <c r="C29" s="19">
        <v>46043</v>
      </c>
      <c r="D29" s="15" t="s">
        <v>17</v>
      </c>
      <c r="E29" s="20"/>
      <c r="F29" s="21"/>
      <c r="G29" s="21"/>
      <c r="H29" s="72" t="s">
        <v>108</v>
      </c>
      <c r="I29" s="21"/>
      <c r="J29" s="28"/>
      <c r="K29" s="7"/>
      <c r="L29" s="8"/>
      <c r="M29" s="21"/>
      <c r="N29" s="82" t="s">
        <v>125</v>
      </c>
    </row>
    <row r="30" spans="3:18" ht="15.75" customHeight="1">
      <c r="C30" s="24">
        <v>46044</v>
      </c>
      <c r="D30" s="15" t="s">
        <v>17</v>
      </c>
      <c r="E30" s="25"/>
      <c r="F30" s="21"/>
      <c r="G30" s="21"/>
      <c r="H30" s="72" t="s">
        <v>137</v>
      </c>
      <c r="I30" s="21"/>
      <c r="J30" s="28"/>
      <c r="K30" s="7"/>
      <c r="L30" s="8"/>
      <c r="M30" s="21"/>
      <c r="N30" s="21"/>
    </row>
    <row r="31" spans="3:18" ht="15.75" customHeight="1">
      <c r="C31" s="19">
        <v>46045</v>
      </c>
      <c r="D31" s="15" t="s">
        <v>17</v>
      </c>
      <c r="E31" s="20"/>
      <c r="F31" s="21"/>
      <c r="G31" s="21"/>
      <c r="H31" s="83" t="s">
        <v>129</v>
      </c>
      <c r="I31" s="21"/>
      <c r="J31" s="27"/>
      <c r="K31" s="7"/>
      <c r="L31" s="8"/>
      <c r="M31" s="21"/>
      <c r="N31" s="21"/>
    </row>
    <row r="32" spans="3:18" ht="15.75" customHeight="1">
      <c r="C32" s="24">
        <v>46046</v>
      </c>
      <c r="D32" s="15" t="s">
        <v>17</v>
      </c>
      <c r="E32" s="25"/>
      <c r="F32" s="21"/>
      <c r="G32" s="21"/>
      <c r="H32" s="83" t="s">
        <v>138</v>
      </c>
      <c r="I32" s="21"/>
      <c r="J32" s="28"/>
      <c r="K32" s="7"/>
      <c r="L32" s="8"/>
      <c r="M32" s="21"/>
      <c r="N32" s="21"/>
    </row>
    <row r="33" spans="3:18" ht="15.75" customHeight="1">
      <c r="C33" s="19">
        <v>46047</v>
      </c>
      <c r="D33" s="15" t="s">
        <v>17</v>
      </c>
      <c r="E33" s="20"/>
      <c r="F33" s="21"/>
      <c r="G33" s="21"/>
      <c r="H33" s="83" t="s">
        <v>139</v>
      </c>
      <c r="I33" s="21"/>
      <c r="J33" s="28"/>
      <c r="K33" s="7"/>
      <c r="L33" s="8"/>
      <c r="M33" s="21"/>
      <c r="N33" s="21"/>
    </row>
    <row r="34" spans="3:18" ht="15.75" customHeight="1">
      <c r="C34" s="24">
        <v>46048</v>
      </c>
      <c r="D34" s="15" t="s">
        <v>17</v>
      </c>
      <c r="E34" s="25"/>
      <c r="F34" s="21"/>
      <c r="G34" s="21"/>
      <c r="H34" s="83" t="s">
        <v>141</v>
      </c>
      <c r="I34" s="21"/>
      <c r="J34" s="28"/>
      <c r="K34" s="7"/>
      <c r="L34" s="8"/>
      <c r="M34" s="21"/>
      <c r="N34" s="21"/>
    </row>
    <row r="35" spans="3:18" ht="15.75" customHeight="1">
      <c r="C35" s="19">
        <v>46049</v>
      </c>
      <c r="D35" s="20"/>
      <c r="E35" s="16" t="s">
        <v>18</v>
      </c>
      <c r="F35" s="21"/>
      <c r="G35" s="21"/>
      <c r="H35" s="72" t="s">
        <v>142</v>
      </c>
      <c r="I35" s="21"/>
      <c r="J35" s="28"/>
      <c r="K35" s="7"/>
      <c r="L35" s="8"/>
      <c r="M35" s="21"/>
      <c r="N35" s="21"/>
    </row>
    <row r="36" spans="3:18" ht="15.75" customHeight="1">
      <c r="C36" s="24">
        <v>46050</v>
      </c>
      <c r="D36" s="25"/>
      <c r="E36" s="15" t="s">
        <v>17</v>
      </c>
      <c r="F36" s="21"/>
      <c r="G36" s="21"/>
      <c r="H36" s="72" t="s">
        <v>148</v>
      </c>
      <c r="I36" s="21"/>
      <c r="J36" s="28"/>
      <c r="K36" s="7"/>
      <c r="L36" s="8"/>
      <c r="M36" s="21"/>
      <c r="N36" s="21"/>
    </row>
    <row r="37" spans="3:18" ht="15.75" customHeight="1">
      <c r="C37" s="19">
        <v>46051</v>
      </c>
      <c r="D37" s="20"/>
      <c r="E37" s="15" t="s">
        <v>17</v>
      </c>
      <c r="F37" s="21"/>
      <c r="G37" s="21"/>
      <c r="H37" s="72" t="s">
        <v>149</v>
      </c>
      <c r="I37" s="21"/>
      <c r="J37" s="28"/>
      <c r="K37" s="7"/>
      <c r="L37" s="8"/>
      <c r="M37" s="21"/>
      <c r="N37" s="21"/>
    </row>
    <row r="38" spans="3:18" ht="15.75" customHeight="1">
      <c r="C38" s="24">
        <v>46052</v>
      </c>
      <c r="D38" s="25"/>
      <c r="E38" s="15" t="s">
        <v>17</v>
      </c>
      <c r="F38" s="21"/>
      <c r="G38" s="21"/>
      <c r="H38" s="72" t="s">
        <v>268</v>
      </c>
      <c r="I38" s="21"/>
      <c r="J38" s="28"/>
      <c r="K38" s="7"/>
      <c r="L38" s="8"/>
      <c r="M38" s="21"/>
      <c r="N38" s="21"/>
    </row>
    <row r="39" spans="3:18" ht="15.75" customHeight="1">
      <c r="C39" s="19">
        <v>46053</v>
      </c>
      <c r="D39" s="20"/>
      <c r="E39" s="15" t="s">
        <v>17</v>
      </c>
      <c r="F39" s="21"/>
      <c r="G39" s="80"/>
      <c r="H39" s="103" t="s">
        <v>267</v>
      </c>
      <c r="I39" s="104"/>
      <c r="J39" s="31"/>
      <c r="K39" s="32"/>
      <c r="L39" s="33"/>
      <c r="M39" s="30"/>
      <c r="N39" s="30"/>
    </row>
    <row r="40" spans="3:18" ht="15.75" customHeight="1">
      <c r="C40" s="13"/>
      <c r="K40" s="2"/>
      <c r="L40" s="2"/>
    </row>
    <row r="41" spans="3:18" ht="15.75" customHeight="1">
      <c r="C41" s="13"/>
      <c r="K41" s="2"/>
      <c r="L41" s="2"/>
    </row>
    <row r="42" spans="3:18" ht="21">
      <c r="C42" s="174" t="s">
        <v>289</v>
      </c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6"/>
      <c r="P42" s="4" t="s">
        <v>1</v>
      </c>
      <c r="Q42" s="4" t="s">
        <v>2</v>
      </c>
      <c r="R42" s="4" t="s">
        <v>3</v>
      </c>
    </row>
    <row r="43" spans="3:18" ht="15.6">
      <c r="C43" s="14" t="s">
        <v>16</v>
      </c>
      <c r="D43" s="15" t="s">
        <v>17</v>
      </c>
      <c r="E43" s="16" t="s">
        <v>18</v>
      </c>
      <c r="F43" s="17" t="s">
        <v>19</v>
      </c>
      <c r="G43" s="17" t="s">
        <v>20</v>
      </c>
      <c r="H43" s="17" t="s">
        <v>21</v>
      </c>
      <c r="I43" s="17" t="s">
        <v>22</v>
      </c>
      <c r="J43" s="17" t="s">
        <v>2</v>
      </c>
      <c r="K43" s="18" t="s">
        <v>23</v>
      </c>
      <c r="L43" s="18" t="s">
        <v>24</v>
      </c>
      <c r="M43" s="17" t="s">
        <v>25</v>
      </c>
      <c r="N43" s="17" t="s">
        <v>26</v>
      </c>
      <c r="P43" s="6" t="s">
        <v>34</v>
      </c>
      <c r="Q43" s="7"/>
      <c r="R43" s="8"/>
    </row>
    <row r="44" spans="3:18" ht="14.4">
      <c r="C44" s="19">
        <v>46054</v>
      </c>
      <c r="D44" s="15" t="s">
        <v>17</v>
      </c>
      <c r="E44" s="20"/>
      <c r="F44" s="21"/>
      <c r="G44" s="21"/>
      <c r="H44" s="99" t="s">
        <v>298</v>
      </c>
      <c r="I44" s="23"/>
      <c r="J44" s="23"/>
      <c r="K44" s="23"/>
      <c r="L44" s="8"/>
      <c r="M44" s="21"/>
      <c r="N44" s="82"/>
      <c r="P44" s="6"/>
      <c r="Q44" s="7"/>
      <c r="R44" s="10"/>
    </row>
    <row r="45" spans="3:18" ht="14.4">
      <c r="C45" s="24">
        <v>46055</v>
      </c>
      <c r="D45" s="15" t="s">
        <v>17</v>
      </c>
      <c r="E45" s="16"/>
      <c r="F45" s="21"/>
      <c r="G45" s="26"/>
      <c r="H45" s="99" t="s">
        <v>299</v>
      </c>
      <c r="I45" s="21"/>
      <c r="J45" s="27"/>
      <c r="K45" s="7"/>
      <c r="L45" s="8"/>
      <c r="M45" s="21"/>
      <c r="N45" s="82"/>
      <c r="P45" s="6"/>
      <c r="Q45" s="7"/>
      <c r="R45" s="10"/>
    </row>
    <row r="46" spans="3:18" ht="14.4">
      <c r="C46" s="19">
        <v>46056</v>
      </c>
      <c r="D46" s="20"/>
      <c r="E46" s="16" t="s">
        <v>18</v>
      </c>
      <c r="F46" s="21"/>
      <c r="G46" s="21"/>
      <c r="H46" s="72" t="s">
        <v>300</v>
      </c>
      <c r="I46" s="21"/>
      <c r="J46" s="5"/>
      <c r="K46" s="7"/>
      <c r="L46" s="8"/>
      <c r="M46" s="21"/>
      <c r="N46" s="82"/>
      <c r="P46" s="6"/>
      <c r="Q46" s="7"/>
      <c r="R46" s="11"/>
    </row>
    <row r="47" spans="3:18" ht="14.4">
      <c r="C47" s="24">
        <v>46057</v>
      </c>
      <c r="D47" s="15" t="s">
        <v>17</v>
      </c>
      <c r="E47" s="25"/>
      <c r="F47" s="21"/>
      <c r="G47" s="21"/>
      <c r="H47" s="99" t="s">
        <v>301</v>
      </c>
      <c r="I47" s="21"/>
      <c r="J47" s="5"/>
      <c r="K47" s="7"/>
      <c r="L47" s="8"/>
      <c r="M47" s="21"/>
      <c r="N47" s="82"/>
      <c r="P47" s="6"/>
      <c r="Q47" s="7"/>
      <c r="R47" s="11"/>
    </row>
    <row r="48" spans="3:18" ht="14.4">
      <c r="C48" s="19">
        <v>46058</v>
      </c>
      <c r="D48" s="15" t="s">
        <v>17</v>
      </c>
      <c r="E48" s="20"/>
      <c r="F48" s="21"/>
      <c r="G48" s="21"/>
      <c r="H48" s="99" t="s">
        <v>302</v>
      </c>
      <c r="I48" s="21"/>
      <c r="J48" s="5"/>
      <c r="K48" s="7"/>
      <c r="L48" s="8"/>
      <c r="M48" s="21"/>
      <c r="N48" s="82"/>
      <c r="P48" s="6"/>
      <c r="Q48" s="7"/>
      <c r="R48" s="12"/>
    </row>
    <row r="49" spans="3:18" ht="14.4">
      <c r="C49" s="24">
        <v>46059</v>
      </c>
      <c r="D49" s="15" t="s">
        <v>17</v>
      </c>
      <c r="E49" s="25"/>
      <c r="F49" s="21"/>
      <c r="G49" s="21"/>
      <c r="H49" s="72" t="s">
        <v>333</v>
      </c>
      <c r="I49" s="21"/>
      <c r="J49" s="28"/>
      <c r="K49" s="7"/>
      <c r="L49" s="8"/>
      <c r="M49" s="21"/>
      <c r="N49" s="82"/>
      <c r="P49" s="6"/>
      <c r="Q49" s="7"/>
      <c r="R49" s="12"/>
    </row>
    <row r="50" spans="3:18" ht="14.4">
      <c r="C50" s="24">
        <v>46060</v>
      </c>
      <c r="D50" s="15" t="s">
        <v>17</v>
      </c>
      <c r="E50" s="16"/>
      <c r="F50" s="73"/>
      <c r="G50" s="73"/>
      <c r="H50" s="72" t="s">
        <v>303</v>
      </c>
      <c r="I50" s="21"/>
      <c r="J50" s="28"/>
      <c r="K50" s="7"/>
      <c r="L50" s="8"/>
      <c r="M50" s="21"/>
      <c r="N50" s="82"/>
      <c r="P50" s="6"/>
      <c r="Q50" s="7"/>
      <c r="R50" s="12"/>
    </row>
    <row r="51" spans="3:18" ht="14.4">
      <c r="C51" s="19">
        <v>46061</v>
      </c>
      <c r="D51" s="15" t="s">
        <v>17</v>
      </c>
      <c r="F51" s="74"/>
      <c r="G51" s="74"/>
      <c r="H51" s="72" t="s">
        <v>304</v>
      </c>
      <c r="I51" s="21"/>
      <c r="J51" s="27"/>
      <c r="K51" s="7"/>
      <c r="L51" s="8"/>
      <c r="M51" s="23"/>
      <c r="N51" s="82"/>
      <c r="P51" s="6"/>
      <c r="Q51" s="7"/>
      <c r="R51" s="12"/>
    </row>
    <row r="52" spans="3:18" ht="14.4">
      <c r="C52" s="24">
        <v>46062</v>
      </c>
      <c r="D52" s="15" t="s">
        <v>17</v>
      </c>
      <c r="E52" s="20"/>
      <c r="F52" s="30"/>
      <c r="G52" s="30"/>
      <c r="H52" s="72" t="s">
        <v>305</v>
      </c>
      <c r="I52" s="21"/>
      <c r="J52" s="28"/>
      <c r="K52" s="7"/>
      <c r="L52" s="8"/>
      <c r="M52" s="21"/>
      <c r="N52" s="82"/>
      <c r="P52" s="6"/>
      <c r="Q52" s="7"/>
      <c r="R52" s="12"/>
    </row>
    <row r="53" spans="3:18" ht="14.4">
      <c r="C53" s="19">
        <v>46063</v>
      </c>
      <c r="D53" s="15" t="s">
        <v>17</v>
      </c>
      <c r="E53" s="25"/>
      <c r="F53" s="21"/>
      <c r="G53" s="21"/>
      <c r="H53" s="72" t="s">
        <v>306</v>
      </c>
      <c r="I53" s="21"/>
      <c r="J53" s="27"/>
      <c r="K53" s="7"/>
      <c r="L53" s="8"/>
      <c r="M53" s="21"/>
      <c r="N53" s="82"/>
      <c r="P53" s="6"/>
      <c r="Q53" s="7"/>
      <c r="R53" s="12"/>
    </row>
    <row r="54" spans="3:18" ht="14.4">
      <c r="C54" s="24">
        <v>46064</v>
      </c>
      <c r="D54" s="15" t="s">
        <v>17</v>
      </c>
      <c r="E54" s="20"/>
      <c r="F54" s="21"/>
      <c r="G54" s="21"/>
      <c r="H54" s="72" t="s">
        <v>328</v>
      </c>
      <c r="I54" s="21"/>
      <c r="J54" s="28"/>
      <c r="K54" s="7"/>
      <c r="L54" s="8"/>
      <c r="M54" s="21"/>
      <c r="N54" s="82"/>
      <c r="P54" s="6"/>
      <c r="Q54" s="7"/>
      <c r="R54" s="12"/>
    </row>
    <row r="55" spans="3:18" ht="14.4">
      <c r="C55" s="19">
        <v>46065</v>
      </c>
      <c r="D55" s="15"/>
      <c r="E55" s="16" t="s">
        <v>18</v>
      </c>
      <c r="F55" s="21"/>
      <c r="G55" s="21"/>
      <c r="H55" s="72" t="s">
        <v>332</v>
      </c>
      <c r="I55" s="21"/>
      <c r="J55" s="28"/>
      <c r="K55" s="7"/>
      <c r="L55" s="8"/>
      <c r="M55" s="21"/>
      <c r="N55" s="82"/>
    </row>
    <row r="56" spans="3:18" ht="15.75" customHeight="1">
      <c r="C56" s="24">
        <v>46066</v>
      </c>
      <c r="D56" s="15"/>
      <c r="E56" s="20"/>
      <c r="F56" s="21"/>
      <c r="G56" s="21"/>
      <c r="H56" s="72"/>
      <c r="I56" s="21"/>
      <c r="J56" s="28"/>
      <c r="K56" s="7"/>
      <c r="L56" s="8"/>
      <c r="M56" s="21"/>
      <c r="N56" s="82"/>
    </row>
    <row r="57" spans="3:18" ht="15.75" customHeight="1">
      <c r="C57" s="19">
        <v>46067</v>
      </c>
      <c r="D57" s="15"/>
      <c r="E57" s="16" t="s">
        <v>18</v>
      </c>
      <c r="F57" s="21"/>
      <c r="G57" s="21"/>
      <c r="H57" s="72" t="s">
        <v>339</v>
      </c>
      <c r="I57" s="21"/>
      <c r="J57" s="28"/>
      <c r="K57" s="7"/>
      <c r="L57" s="8"/>
      <c r="M57" s="21"/>
      <c r="N57" s="82"/>
    </row>
    <row r="58" spans="3:18" ht="15.75" customHeight="1">
      <c r="C58" s="24">
        <v>46068</v>
      </c>
      <c r="D58" s="15"/>
      <c r="E58" s="16" t="s">
        <v>18</v>
      </c>
      <c r="F58" s="21"/>
      <c r="G58" s="21"/>
      <c r="H58" s="72" t="s">
        <v>53</v>
      </c>
      <c r="I58" s="21"/>
      <c r="J58" s="28"/>
      <c r="K58" s="7"/>
      <c r="L58" s="8"/>
      <c r="M58" s="21"/>
      <c r="N58" s="82"/>
    </row>
    <row r="59" spans="3:18" ht="15.75" customHeight="1">
      <c r="C59" s="19">
        <v>46069</v>
      </c>
      <c r="D59" s="15"/>
      <c r="E59" s="16" t="s">
        <v>18</v>
      </c>
      <c r="F59" s="21"/>
      <c r="G59" s="21"/>
      <c r="H59" s="72" t="s">
        <v>351</v>
      </c>
      <c r="I59" s="21"/>
      <c r="J59" s="28"/>
      <c r="K59" s="7"/>
      <c r="L59" s="8"/>
      <c r="M59" s="21"/>
      <c r="N59" s="82"/>
    </row>
    <row r="60" spans="3:18" ht="15.75" customHeight="1">
      <c r="C60" s="24">
        <v>46070</v>
      </c>
      <c r="D60" s="20"/>
      <c r="E60" s="15" t="s">
        <v>17</v>
      </c>
      <c r="F60" s="21"/>
      <c r="G60" s="21"/>
      <c r="H60" s="72" t="s">
        <v>354</v>
      </c>
      <c r="I60" s="21"/>
      <c r="J60" s="28"/>
      <c r="K60" s="7"/>
      <c r="L60" s="8"/>
      <c r="M60" s="21"/>
      <c r="N60" s="82"/>
    </row>
    <row r="61" spans="3:18" ht="15.75" customHeight="1">
      <c r="C61" s="19">
        <v>46071</v>
      </c>
      <c r="D61" s="15"/>
      <c r="E61" s="16" t="s">
        <v>18</v>
      </c>
      <c r="F61" s="21"/>
      <c r="G61" s="21"/>
      <c r="H61" s="72" t="s">
        <v>363</v>
      </c>
      <c r="I61" s="21"/>
      <c r="J61" s="27"/>
      <c r="K61" s="7"/>
      <c r="L61" s="8"/>
      <c r="M61" s="21"/>
      <c r="N61" s="82"/>
    </row>
    <row r="62" spans="3:18" ht="15.75" customHeight="1">
      <c r="C62" s="24">
        <v>46072</v>
      </c>
      <c r="D62" s="15"/>
      <c r="E62" s="16" t="s">
        <v>18</v>
      </c>
      <c r="F62" s="21"/>
      <c r="G62" s="21"/>
      <c r="H62" s="72" t="s">
        <v>362</v>
      </c>
      <c r="I62" s="21"/>
      <c r="J62" s="28"/>
      <c r="K62" s="7"/>
      <c r="L62" s="8"/>
      <c r="M62" s="21"/>
      <c r="N62" s="82"/>
    </row>
    <row r="63" spans="3:18" ht="15.75" customHeight="1">
      <c r="C63" s="19">
        <v>46073</v>
      </c>
      <c r="D63" s="15"/>
      <c r="E63" s="15" t="s">
        <v>17</v>
      </c>
      <c r="F63" s="21"/>
      <c r="G63" s="21"/>
      <c r="H63" s="22" t="s">
        <v>370</v>
      </c>
      <c r="I63" s="21"/>
      <c r="J63" s="28"/>
      <c r="K63" s="7"/>
      <c r="L63" s="8"/>
      <c r="M63" s="21"/>
      <c r="N63" s="82"/>
    </row>
    <row r="64" spans="3:18" ht="15.75" customHeight="1">
      <c r="C64" s="24">
        <v>46074</v>
      </c>
      <c r="D64" s="15"/>
      <c r="E64" s="15" t="s">
        <v>17</v>
      </c>
      <c r="F64" s="21"/>
      <c r="G64" s="21"/>
      <c r="H64" s="22" t="s">
        <v>373</v>
      </c>
      <c r="I64" s="21"/>
      <c r="J64" s="28"/>
      <c r="K64" s="7"/>
      <c r="L64" s="8"/>
      <c r="M64" s="21"/>
      <c r="N64" s="82"/>
    </row>
    <row r="65" spans="3:18" ht="15.75" customHeight="1">
      <c r="C65" s="19">
        <v>46075</v>
      </c>
      <c r="D65" s="15"/>
      <c r="E65" s="15" t="s">
        <v>17</v>
      </c>
      <c r="F65" s="21"/>
      <c r="G65" s="21"/>
      <c r="H65" s="22" t="s">
        <v>378</v>
      </c>
      <c r="I65" s="21"/>
      <c r="J65" s="28"/>
      <c r="K65" s="7"/>
      <c r="L65" s="8"/>
      <c r="M65" s="21"/>
      <c r="N65" s="21"/>
    </row>
    <row r="66" spans="3:18" ht="15.75" customHeight="1">
      <c r="C66" s="24">
        <v>46076</v>
      </c>
      <c r="D66" s="15"/>
      <c r="E66" s="16" t="s">
        <v>18</v>
      </c>
      <c r="F66" s="21"/>
      <c r="G66" s="21"/>
      <c r="H66" s="22" t="s">
        <v>383</v>
      </c>
      <c r="I66" s="21"/>
      <c r="J66" s="27"/>
      <c r="K66" s="7"/>
      <c r="L66" s="8"/>
      <c r="M66" s="21"/>
      <c r="N66" s="21"/>
    </row>
    <row r="67" spans="3:18" ht="15.75" customHeight="1">
      <c r="C67" s="19">
        <v>46077</v>
      </c>
      <c r="D67" s="15"/>
      <c r="E67" s="15" t="s">
        <v>17</v>
      </c>
      <c r="F67" s="21"/>
      <c r="G67" s="21"/>
      <c r="H67" s="22" t="s">
        <v>384</v>
      </c>
      <c r="I67" s="21"/>
      <c r="J67" s="28"/>
      <c r="K67" s="7"/>
      <c r="L67" s="8"/>
      <c r="M67" s="21"/>
      <c r="N67" s="21"/>
    </row>
    <row r="68" spans="3:18" ht="15.75" customHeight="1">
      <c r="C68" s="24">
        <v>46078</v>
      </c>
      <c r="D68" s="15"/>
      <c r="E68" s="16" t="s">
        <v>18</v>
      </c>
      <c r="F68" s="21"/>
      <c r="G68" s="21"/>
      <c r="H68" s="22" t="s">
        <v>391</v>
      </c>
      <c r="I68" s="21"/>
      <c r="J68" s="28"/>
      <c r="K68" s="7"/>
      <c r="L68" s="8"/>
      <c r="M68" s="21"/>
      <c r="N68" s="21"/>
    </row>
    <row r="69" spans="3:18" ht="15.75" customHeight="1">
      <c r="C69" s="19">
        <v>46079</v>
      </c>
      <c r="D69" s="15"/>
      <c r="E69" s="15" t="s">
        <v>17</v>
      </c>
      <c r="F69" s="21"/>
      <c r="G69" s="21"/>
      <c r="H69" s="22" t="s">
        <v>399</v>
      </c>
      <c r="I69" s="21"/>
      <c r="J69" s="28"/>
      <c r="K69" s="7"/>
      <c r="L69" s="8"/>
      <c r="M69" s="21"/>
      <c r="N69" s="21"/>
    </row>
    <row r="70" spans="3:18" ht="15.75" customHeight="1">
      <c r="C70" s="24">
        <v>46080</v>
      </c>
      <c r="D70" s="20"/>
      <c r="E70" s="15" t="s">
        <v>17</v>
      </c>
      <c r="F70" s="21"/>
      <c r="G70" s="21"/>
      <c r="H70" s="22" t="s">
        <v>398</v>
      </c>
      <c r="I70" s="21"/>
      <c r="J70" s="28"/>
      <c r="K70" s="7"/>
      <c r="L70" s="8"/>
      <c r="M70" s="21"/>
      <c r="N70" s="21"/>
    </row>
    <row r="71" spans="3:18" ht="15.75" customHeight="1">
      <c r="C71" s="19">
        <v>46081</v>
      </c>
      <c r="D71" s="25"/>
      <c r="E71" s="15" t="s">
        <v>17</v>
      </c>
      <c r="F71" s="21"/>
      <c r="G71" s="78"/>
      <c r="H71" s="22" t="s">
        <v>415</v>
      </c>
      <c r="I71" s="55"/>
      <c r="J71" s="28"/>
      <c r="K71" s="7"/>
      <c r="L71" s="8"/>
      <c r="M71" s="21"/>
      <c r="N71" s="21"/>
    </row>
    <row r="72" spans="3:18" ht="15.75" customHeight="1">
      <c r="C72" s="13"/>
      <c r="K72" s="2"/>
      <c r="L72" s="2"/>
    </row>
    <row r="73" spans="3:18" ht="21">
      <c r="C73" s="174" t="s">
        <v>289</v>
      </c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6"/>
      <c r="P73" s="4" t="s">
        <v>1</v>
      </c>
      <c r="Q73" s="4" t="s">
        <v>2</v>
      </c>
      <c r="R73" s="4" t="s">
        <v>3</v>
      </c>
    </row>
    <row r="74" spans="3:18" ht="15.6">
      <c r="C74" s="14" t="s">
        <v>16</v>
      </c>
      <c r="D74" s="15" t="s">
        <v>17</v>
      </c>
      <c r="E74" s="16" t="s">
        <v>18</v>
      </c>
      <c r="F74" s="17" t="s">
        <v>19</v>
      </c>
      <c r="G74" s="17" t="s">
        <v>20</v>
      </c>
      <c r="H74" s="17" t="s">
        <v>21</v>
      </c>
      <c r="I74" s="17" t="s">
        <v>22</v>
      </c>
      <c r="J74" s="17" t="s">
        <v>2</v>
      </c>
      <c r="K74" s="18" t="s">
        <v>23</v>
      </c>
      <c r="L74" s="18" t="s">
        <v>24</v>
      </c>
      <c r="M74" s="17" t="s">
        <v>25</v>
      </c>
      <c r="N74" s="17" t="s">
        <v>26</v>
      </c>
      <c r="P74" s="6" t="s">
        <v>34</v>
      </c>
      <c r="Q74" s="7"/>
      <c r="R74" s="8"/>
    </row>
    <row r="75" spans="3:18" ht="14.4">
      <c r="C75" s="19">
        <v>46082</v>
      </c>
      <c r="D75" s="15" t="s">
        <v>17</v>
      </c>
      <c r="E75" s="134"/>
      <c r="F75" s="21"/>
      <c r="G75" s="21"/>
      <c r="H75" s="83" t="s">
        <v>416</v>
      </c>
      <c r="I75" s="23"/>
      <c r="J75" s="23"/>
      <c r="K75" s="23"/>
      <c r="L75" s="8"/>
      <c r="M75" s="21"/>
      <c r="N75" s="82"/>
      <c r="P75" s="6"/>
      <c r="Q75" s="7"/>
      <c r="R75" s="10"/>
    </row>
    <row r="76" spans="3:18" ht="14.4">
      <c r="C76" s="19">
        <v>46083</v>
      </c>
      <c r="D76" s="84"/>
      <c r="E76" s="76" t="s">
        <v>18</v>
      </c>
      <c r="F76" s="55"/>
      <c r="G76" s="26"/>
      <c r="H76" s="83" t="s">
        <v>423</v>
      </c>
      <c r="I76" s="21"/>
      <c r="J76" s="27"/>
      <c r="K76" s="7"/>
      <c r="L76" s="8"/>
      <c r="M76" s="21"/>
      <c r="N76" s="82"/>
      <c r="P76" s="6"/>
      <c r="Q76" s="7"/>
      <c r="R76" s="10"/>
    </row>
    <row r="77" spans="3:18" ht="14.4">
      <c r="C77" s="19">
        <v>46084</v>
      </c>
      <c r="D77" s="133"/>
      <c r="E77" s="76" t="s">
        <v>18</v>
      </c>
      <c r="F77" s="55"/>
      <c r="G77" s="21"/>
      <c r="H77" s="83" t="s">
        <v>424</v>
      </c>
      <c r="I77" s="21"/>
      <c r="J77" s="5"/>
      <c r="K77" s="7"/>
      <c r="L77" s="8"/>
      <c r="M77" s="21"/>
      <c r="N77" s="82"/>
      <c r="P77" s="6"/>
      <c r="Q77" s="7"/>
      <c r="R77" s="11"/>
    </row>
    <row r="78" spans="3:18" ht="14.4">
      <c r="C78" s="19">
        <v>46085</v>
      </c>
      <c r="D78" s="130"/>
      <c r="E78" s="76" t="s">
        <v>17</v>
      </c>
      <c r="F78" s="55"/>
      <c r="G78" s="21"/>
      <c r="H78" s="83" t="s">
        <v>429</v>
      </c>
      <c r="I78" s="21"/>
      <c r="J78" s="5"/>
      <c r="K78" s="7"/>
      <c r="L78" s="8"/>
      <c r="M78" s="21"/>
      <c r="N78" s="82"/>
      <c r="P78" s="6"/>
      <c r="Q78" s="7"/>
      <c r="R78" s="11"/>
    </row>
    <row r="79" spans="3:18" ht="14.4">
      <c r="C79" s="19">
        <v>46086</v>
      </c>
      <c r="D79" s="130"/>
      <c r="E79" s="76" t="s">
        <v>17</v>
      </c>
      <c r="F79" s="55"/>
      <c r="G79" s="21"/>
      <c r="H79" s="83" t="s">
        <v>463</v>
      </c>
      <c r="I79" s="21"/>
      <c r="J79" s="5"/>
      <c r="K79" s="7"/>
      <c r="L79" s="8"/>
      <c r="M79" s="21"/>
      <c r="N79" s="82"/>
      <c r="P79" s="6"/>
      <c r="Q79" s="7"/>
      <c r="R79" s="12"/>
    </row>
    <row r="80" spans="3:18" ht="14.4">
      <c r="C80" s="19">
        <v>46087</v>
      </c>
      <c r="D80" s="130"/>
      <c r="E80" s="76" t="s">
        <v>17</v>
      </c>
      <c r="F80" s="55"/>
      <c r="G80" s="21"/>
      <c r="H80" s="83" t="s">
        <v>441</v>
      </c>
      <c r="I80" s="21"/>
      <c r="J80" s="28"/>
      <c r="K80" s="7"/>
      <c r="L80" s="8"/>
      <c r="M80" s="21"/>
      <c r="N80" s="82"/>
      <c r="P80" s="6"/>
      <c r="Q80" s="7"/>
      <c r="R80" s="12"/>
    </row>
    <row r="81" spans="3:18" ht="14.4">
      <c r="C81" s="19">
        <v>46088</v>
      </c>
      <c r="D81" s="130"/>
      <c r="E81" s="76" t="s">
        <v>17</v>
      </c>
      <c r="F81" s="107"/>
      <c r="G81" s="73"/>
      <c r="H81" s="83" t="s">
        <v>459</v>
      </c>
      <c r="I81" s="21"/>
      <c r="J81" s="28"/>
      <c r="K81" s="7"/>
      <c r="L81" s="8"/>
      <c r="M81" s="21"/>
      <c r="N81" s="82"/>
      <c r="P81" s="6"/>
      <c r="Q81" s="7"/>
      <c r="R81" s="12"/>
    </row>
    <row r="82" spans="3:18" ht="14.4">
      <c r="C82" s="19">
        <v>46089</v>
      </c>
      <c r="D82" s="130"/>
      <c r="E82" s="76" t="s">
        <v>17</v>
      </c>
      <c r="F82" s="55"/>
      <c r="G82" s="21"/>
      <c r="H82" s="83" t="s">
        <v>460</v>
      </c>
      <c r="I82" s="21"/>
      <c r="J82" s="27"/>
      <c r="K82" s="7"/>
      <c r="L82" s="8"/>
      <c r="M82" s="23"/>
      <c r="N82" s="82"/>
      <c r="P82" s="6"/>
      <c r="Q82" s="7"/>
      <c r="R82" s="12"/>
    </row>
    <row r="83" spans="3:18" ht="14.4">
      <c r="C83" s="19">
        <v>46090</v>
      </c>
      <c r="D83" s="130"/>
      <c r="E83" s="76" t="s">
        <v>17</v>
      </c>
      <c r="F83" s="108"/>
      <c r="G83" s="74"/>
      <c r="H83" s="83" t="s">
        <v>461</v>
      </c>
      <c r="I83" s="21"/>
      <c r="J83" s="28"/>
      <c r="K83" s="7"/>
      <c r="L83" s="8"/>
      <c r="M83" s="21"/>
      <c r="N83" s="82"/>
      <c r="P83" s="6"/>
      <c r="Q83" s="7"/>
      <c r="R83" s="12"/>
    </row>
    <row r="84" spans="3:18" ht="14.4">
      <c r="C84" s="19">
        <v>46091</v>
      </c>
      <c r="D84" s="130"/>
      <c r="E84" s="76" t="s">
        <v>17</v>
      </c>
      <c r="F84" s="104"/>
      <c r="G84" s="30"/>
      <c r="H84" s="83" t="s">
        <v>462</v>
      </c>
      <c r="I84" s="21"/>
      <c r="J84" s="27"/>
      <c r="K84" s="7"/>
      <c r="L84" s="8"/>
      <c r="M84" s="21"/>
      <c r="N84" s="82"/>
      <c r="P84" s="6"/>
      <c r="Q84" s="7"/>
      <c r="R84" s="12"/>
    </row>
    <row r="85" spans="3:18" ht="14.4">
      <c r="C85" s="19">
        <v>46092</v>
      </c>
      <c r="D85" s="130"/>
      <c r="E85" s="76" t="s">
        <v>18</v>
      </c>
      <c r="F85" s="55"/>
      <c r="G85" s="21"/>
      <c r="H85" s="83" t="s">
        <v>485</v>
      </c>
      <c r="I85" s="21"/>
      <c r="J85" s="28"/>
      <c r="K85" s="7"/>
      <c r="L85" s="8"/>
      <c r="M85" s="21"/>
      <c r="N85" s="82"/>
      <c r="P85" s="6"/>
      <c r="Q85" s="7"/>
      <c r="R85" s="12"/>
    </row>
    <row r="86" spans="3:18" ht="14.4">
      <c r="C86" s="19">
        <v>46093</v>
      </c>
      <c r="D86" s="130"/>
      <c r="E86" s="76" t="s">
        <v>18</v>
      </c>
      <c r="F86" s="55"/>
      <c r="G86" s="21"/>
      <c r="H86" s="83" t="s">
        <v>484</v>
      </c>
      <c r="I86" s="21"/>
      <c r="J86" s="28"/>
      <c r="K86" s="7"/>
      <c r="L86" s="8"/>
      <c r="M86" s="21"/>
      <c r="N86" s="82"/>
    </row>
    <row r="87" spans="3:18" ht="15.75" customHeight="1">
      <c r="C87" s="19">
        <v>46094</v>
      </c>
      <c r="D87" s="130"/>
      <c r="E87" s="76" t="s">
        <v>18</v>
      </c>
      <c r="F87" s="55"/>
      <c r="G87" s="21"/>
      <c r="H87" s="83" t="s">
        <v>483</v>
      </c>
      <c r="I87" s="21"/>
      <c r="J87" s="28"/>
      <c r="K87" s="7"/>
      <c r="L87" s="8"/>
      <c r="M87" s="21"/>
      <c r="N87" s="82"/>
    </row>
    <row r="88" spans="3:18" ht="15.75" customHeight="1">
      <c r="C88" s="19">
        <v>46095</v>
      </c>
      <c r="D88" s="130"/>
      <c r="E88" s="76" t="s">
        <v>17</v>
      </c>
      <c r="F88" s="55"/>
      <c r="G88" s="21"/>
      <c r="H88" s="83" t="s">
        <v>486</v>
      </c>
      <c r="I88" s="21"/>
      <c r="J88" s="28"/>
      <c r="K88" s="7"/>
      <c r="L88" s="8"/>
      <c r="M88" s="21"/>
      <c r="N88" s="82"/>
    </row>
    <row r="89" spans="3:18" ht="15.75" customHeight="1">
      <c r="C89" s="19">
        <v>46096</v>
      </c>
      <c r="D89" s="130"/>
      <c r="E89" s="76" t="s">
        <v>17</v>
      </c>
      <c r="F89" s="55"/>
      <c r="G89" s="21"/>
      <c r="H89" s="83" t="s">
        <v>487</v>
      </c>
      <c r="I89" s="21"/>
      <c r="J89" s="28"/>
      <c r="K89" s="7"/>
      <c r="L89" s="8"/>
      <c r="M89" s="21"/>
      <c r="N89" s="82"/>
    </row>
    <row r="90" spans="3:18" ht="15.75" customHeight="1">
      <c r="C90" s="19">
        <v>46097</v>
      </c>
      <c r="D90" s="130"/>
      <c r="E90" s="76" t="s">
        <v>17</v>
      </c>
      <c r="F90" s="55"/>
      <c r="G90" s="21"/>
      <c r="H90" s="83" t="s">
        <v>488</v>
      </c>
      <c r="I90" s="21"/>
      <c r="J90" s="28"/>
      <c r="K90" s="7"/>
      <c r="L90" s="8"/>
      <c r="M90" s="21"/>
      <c r="N90" s="82"/>
    </row>
    <row r="91" spans="3:18" ht="15.75" customHeight="1">
      <c r="C91" s="19">
        <v>46098</v>
      </c>
      <c r="D91" s="133"/>
      <c r="E91" s="76" t="s">
        <v>17</v>
      </c>
      <c r="F91" s="55"/>
      <c r="G91" s="21"/>
      <c r="H91" s="83" t="s">
        <v>495</v>
      </c>
      <c r="I91" s="21"/>
      <c r="J91" s="28"/>
      <c r="K91" s="7"/>
      <c r="L91" s="8"/>
      <c r="M91" s="21"/>
      <c r="N91" s="82"/>
    </row>
    <row r="92" spans="3:18" ht="15.75" customHeight="1">
      <c r="C92" s="19">
        <v>46099</v>
      </c>
      <c r="D92" s="127"/>
      <c r="E92" s="76" t="s">
        <v>17</v>
      </c>
      <c r="F92" s="21"/>
      <c r="G92" s="21"/>
      <c r="H92" s="83" t="s">
        <v>510</v>
      </c>
      <c r="I92" s="21"/>
      <c r="J92" s="27"/>
      <c r="K92" s="7"/>
      <c r="L92" s="8"/>
      <c r="M92" s="21"/>
      <c r="N92" s="82"/>
    </row>
    <row r="93" spans="3:18" ht="15.75" customHeight="1">
      <c r="C93" s="19">
        <v>46100</v>
      </c>
      <c r="D93" s="127"/>
      <c r="E93" s="76" t="s">
        <v>17</v>
      </c>
      <c r="F93" s="21"/>
      <c r="G93" s="21"/>
      <c r="H93" s="83" t="s">
        <v>511</v>
      </c>
      <c r="I93" s="21"/>
      <c r="J93" s="28"/>
      <c r="K93" s="7"/>
      <c r="L93" s="8"/>
      <c r="M93" s="21"/>
      <c r="N93" s="82"/>
    </row>
    <row r="94" spans="3:18" ht="15.75" customHeight="1">
      <c r="C94" s="19">
        <v>46101</v>
      </c>
      <c r="D94" s="127"/>
      <c r="E94" s="76" t="s">
        <v>17</v>
      </c>
      <c r="F94" s="21"/>
      <c r="G94" s="21"/>
      <c r="H94" s="83" t="s">
        <v>515</v>
      </c>
      <c r="I94" s="21"/>
      <c r="J94" s="28"/>
      <c r="K94" s="7"/>
      <c r="L94" s="8"/>
      <c r="M94" s="21"/>
      <c r="N94" s="82"/>
    </row>
    <row r="95" spans="3:18" ht="15.75" customHeight="1">
      <c r="C95" s="19">
        <v>46102</v>
      </c>
      <c r="D95" s="127"/>
      <c r="E95" s="76" t="s">
        <v>17</v>
      </c>
      <c r="F95" s="21"/>
      <c r="G95" s="21"/>
      <c r="H95" s="83" t="s">
        <v>534</v>
      </c>
      <c r="I95" s="21"/>
      <c r="J95" s="28"/>
      <c r="K95" s="7"/>
      <c r="L95" s="8"/>
      <c r="M95" s="21"/>
      <c r="N95" s="82"/>
    </row>
    <row r="96" spans="3:18" ht="15.75" customHeight="1">
      <c r="C96" s="19">
        <v>46103</v>
      </c>
      <c r="D96" s="127"/>
      <c r="E96" s="76" t="s">
        <v>18</v>
      </c>
      <c r="F96" s="21"/>
      <c r="G96" s="21"/>
      <c r="H96" s="83" t="s">
        <v>535</v>
      </c>
      <c r="I96" s="21"/>
      <c r="J96" s="28"/>
      <c r="K96" s="7"/>
      <c r="L96" s="8"/>
      <c r="M96" s="21"/>
      <c r="N96" s="21"/>
    </row>
    <row r="97" spans="3:14" ht="15.75" customHeight="1">
      <c r="C97" s="19">
        <v>46104</v>
      </c>
      <c r="D97" s="127"/>
      <c r="E97" s="76" t="s">
        <v>18</v>
      </c>
      <c r="F97" s="21"/>
      <c r="G97" s="21"/>
      <c r="H97" s="83" t="s">
        <v>536</v>
      </c>
      <c r="I97" s="21"/>
      <c r="J97" s="27"/>
      <c r="K97" s="7"/>
      <c r="L97" s="8"/>
      <c r="M97" s="21"/>
      <c r="N97" s="21"/>
    </row>
    <row r="98" spans="3:14" ht="15.75" customHeight="1">
      <c r="C98" s="19">
        <v>46105</v>
      </c>
      <c r="D98" s="127"/>
      <c r="E98" s="76" t="s">
        <v>17</v>
      </c>
      <c r="F98" s="21"/>
      <c r="G98" s="21"/>
      <c r="H98" s="83" t="s">
        <v>537</v>
      </c>
      <c r="I98" s="21"/>
      <c r="J98" s="28"/>
      <c r="K98" s="7"/>
      <c r="L98" s="8"/>
      <c r="M98" s="21"/>
      <c r="N98" s="21"/>
    </row>
    <row r="99" spans="3:14" ht="15.75" customHeight="1">
      <c r="C99" s="19">
        <v>46106</v>
      </c>
      <c r="D99" s="127"/>
      <c r="E99" s="76" t="s">
        <v>17</v>
      </c>
      <c r="F99" s="21"/>
      <c r="G99" s="21"/>
      <c r="H99" s="83" t="s">
        <v>543</v>
      </c>
      <c r="I99" s="21"/>
      <c r="J99" s="28"/>
      <c r="K99" s="7"/>
      <c r="L99" s="8"/>
      <c r="M99" s="21"/>
      <c r="N99" s="21"/>
    </row>
    <row r="100" spans="3:14" ht="15.75" customHeight="1">
      <c r="C100" s="19">
        <v>46107</v>
      </c>
      <c r="D100" s="127"/>
      <c r="E100" s="76" t="s">
        <v>18</v>
      </c>
      <c r="F100" s="21"/>
      <c r="G100" s="21"/>
      <c r="H100" s="83" t="s">
        <v>549</v>
      </c>
      <c r="I100" s="21"/>
      <c r="J100" s="28"/>
      <c r="K100" s="7"/>
      <c r="L100" s="8"/>
      <c r="M100" s="21"/>
      <c r="N100" s="21"/>
    </row>
    <row r="101" spans="3:14" ht="15.75" customHeight="1">
      <c r="C101" s="19">
        <v>46108</v>
      </c>
      <c r="D101" s="127"/>
      <c r="E101" s="76" t="s">
        <v>17</v>
      </c>
      <c r="F101" s="21"/>
      <c r="G101" s="21"/>
      <c r="H101" s="83" t="s">
        <v>551</v>
      </c>
      <c r="I101" s="21"/>
      <c r="J101" s="28"/>
      <c r="K101" s="7"/>
      <c r="L101" s="8"/>
      <c r="M101" s="21"/>
      <c r="N101" s="21"/>
    </row>
    <row r="102" spans="3:14" ht="15.75" customHeight="1">
      <c r="C102" s="19">
        <v>46109</v>
      </c>
      <c r="D102" s="127"/>
      <c r="E102" s="76" t="s">
        <v>17</v>
      </c>
      <c r="F102" s="21"/>
      <c r="G102" s="21"/>
      <c r="H102" s="83" t="s">
        <v>552</v>
      </c>
      <c r="I102" s="21"/>
      <c r="J102" s="28"/>
      <c r="K102" s="7"/>
      <c r="L102" s="8"/>
      <c r="M102" s="21"/>
      <c r="N102" s="21"/>
    </row>
    <row r="103" spans="3:14" ht="15.75" customHeight="1">
      <c r="C103" s="19">
        <v>46110</v>
      </c>
      <c r="D103" s="127"/>
      <c r="E103" s="76" t="s">
        <v>17</v>
      </c>
      <c r="F103" s="21"/>
      <c r="G103" s="21"/>
      <c r="H103" s="83" t="s">
        <v>553</v>
      </c>
      <c r="I103" s="21"/>
      <c r="J103" s="28"/>
      <c r="K103" s="7"/>
      <c r="L103" s="8"/>
      <c r="M103" s="21"/>
      <c r="N103" s="21"/>
    </row>
    <row r="104" spans="3:14" ht="15.75" customHeight="1">
      <c r="C104" s="19">
        <v>46111</v>
      </c>
      <c r="D104" s="128"/>
      <c r="E104" s="76" t="s">
        <v>17</v>
      </c>
      <c r="F104" s="21"/>
      <c r="G104" s="21"/>
      <c r="H104" s="83" t="s">
        <v>554</v>
      </c>
      <c r="I104" s="21"/>
      <c r="J104" s="28"/>
      <c r="K104" s="7"/>
      <c r="L104" s="8"/>
      <c r="M104" s="21"/>
      <c r="N104" s="21"/>
    </row>
    <row r="105" spans="3:14" ht="15.75" customHeight="1">
      <c r="C105" s="19">
        <v>46112</v>
      </c>
      <c r="D105" s="129"/>
      <c r="E105" s="76" t="s">
        <v>17</v>
      </c>
      <c r="F105" s="21"/>
      <c r="G105" s="78"/>
      <c r="H105" s="83" t="s">
        <v>557</v>
      </c>
      <c r="I105" s="55"/>
      <c r="J105" s="28"/>
      <c r="K105" s="7"/>
      <c r="L105" s="8"/>
      <c r="M105" s="21"/>
      <c r="N105" s="21"/>
    </row>
    <row r="106" spans="3:14" ht="15.75" customHeight="1">
      <c r="C106" s="19">
        <v>46113</v>
      </c>
      <c r="E106" s="76" t="s">
        <v>17</v>
      </c>
      <c r="H106" s="83" t="s">
        <v>554</v>
      </c>
      <c r="K106" s="2"/>
      <c r="L106" s="2"/>
    </row>
    <row r="107" spans="3:14" ht="15.75" customHeight="1">
      <c r="C107" s="19">
        <v>46114</v>
      </c>
      <c r="E107" s="76" t="s">
        <v>18</v>
      </c>
      <c r="H107" s="83" t="s">
        <v>549</v>
      </c>
      <c r="K107" s="2"/>
      <c r="L107" s="2"/>
    </row>
    <row r="108" spans="3:14" ht="15.75" customHeight="1">
      <c r="C108" s="19">
        <v>46115</v>
      </c>
      <c r="E108" s="76" t="s">
        <v>17</v>
      </c>
      <c r="H108" s="83" t="s">
        <v>554</v>
      </c>
      <c r="K108" s="2"/>
      <c r="L108" s="2"/>
    </row>
    <row r="109" spans="3:14" ht="15.75" customHeight="1">
      <c r="C109" s="19">
        <v>46116</v>
      </c>
      <c r="E109" s="76" t="s">
        <v>17</v>
      </c>
      <c r="H109" s="83" t="s">
        <v>554</v>
      </c>
      <c r="K109" s="2"/>
      <c r="L109" s="2"/>
    </row>
    <row r="110" spans="3:14" ht="15.75" customHeight="1">
      <c r="C110" s="19">
        <v>46117</v>
      </c>
      <c r="E110" s="76" t="s">
        <v>17</v>
      </c>
      <c r="H110" s="83" t="s">
        <v>554</v>
      </c>
      <c r="K110" s="2"/>
      <c r="L110" s="2"/>
    </row>
    <row r="111" spans="3:14" ht="15.75" customHeight="1">
      <c r="C111" s="19">
        <v>46118</v>
      </c>
      <c r="E111" s="76" t="s">
        <v>18</v>
      </c>
      <c r="H111" s="83" t="s">
        <v>549</v>
      </c>
      <c r="K111" s="2"/>
      <c r="L111" s="2"/>
    </row>
    <row r="112" spans="3:14" ht="15.75" customHeight="1">
      <c r="C112" s="19">
        <v>46119</v>
      </c>
      <c r="E112" s="76" t="s">
        <v>17</v>
      </c>
      <c r="H112" s="83" t="s">
        <v>554</v>
      </c>
      <c r="K112" s="2"/>
      <c r="L112" s="2"/>
    </row>
    <row r="113" spans="3:12" ht="15.75" customHeight="1">
      <c r="C113" s="19">
        <v>46120</v>
      </c>
      <c r="E113" s="76" t="s">
        <v>17</v>
      </c>
      <c r="H113" s="83" t="s">
        <v>554</v>
      </c>
      <c r="K113" s="2"/>
      <c r="L113" s="2"/>
    </row>
    <row r="114" spans="3:12" ht="15.75" customHeight="1">
      <c r="C114" s="19">
        <v>46121</v>
      </c>
      <c r="E114" s="76" t="s">
        <v>18</v>
      </c>
      <c r="H114" s="83" t="s">
        <v>549</v>
      </c>
      <c r="K114" s="2"/>
      <c r="L114" s="2"/>
    </row>
    <row r="115" spans="3:12" ht="15.75" customHeight="1">
      <c r="C115" s="19">
        <v>46122</v>
      </c>
      <c r="E115" s="76" t="s">
        <v>17</v>
      </c>
      <c r="H115" s="83" t="s">
        <v>554</v>
      </c>
      <c r="K115" s="2"/>
      <c r="L115" s="2"/>
    </row>
    <row r="116" spans="3:12" ht="15.75" customHeight="1">
      <c r="C116" s="19">
        <v>46123</v>
      </c>
      <c r="E116" s="76" t="s">
        <v>17</v>
      </c>
      <c r="H116" s="83" t="s">
        <v>554</v>
      </c>
      <c r="K116" s="2"/>
      <c r="L116" s="2"/>
    </row>
    <row r="117" spans="3:12" ht="15.75" customHeight="1">
      <c r="C117" s="19">
        <v>46124</v>
      </c>
      <c r="E117" s="76" t="s">
        <v>17</v>
      </c>
      <c r="H117" s="83" t="s">
        <v>554</v>
      </c>
      <c r="K117" s="2"/>
      <c r="L117" s="2"/>
    </row>
    <row r="118" spans="3:12" ht="15.75" customHeight="1">
      <c r="C118" s="19">
        <v>46125</v>
      </c>
      <c r="E118" s="76" t="s">
        <v>18</v>
      </c>
      <c r="H118" s="83" t="s">
        <v>549</v>
      </c>
      <c r="K118" s="2"/>
      <c r="L118" s="2"/>
    </row>
    <row r="119" spans="3:12" ht="15.75" customHeight="1">
      <c r="C119" s="19">
        <v>46126</v>
      </c>
      <c r="E119" s="76" t="s">
        <v>17</v>
      </c>
      <c r="H119" s="83" t="s">
        <v>554</v>
      </c>
      <c r="K119" s="2"/>
      <c r="L119" s="2"/>
    </row>
    <row r="120" spans="3:12" ht="15.75" customHeight="1">
      <c r="C120" s="19">
        <v>46127</v>
      </c>
      <c r="E120" s="76" t="s">
        <v>17</v>
      </c>
      <c r="H120" s="83" t="s">
        <v>554</v>
      </c>
      <c r="K120" s="2"/>
      <c r="L120" s="2"/>
    </row>
    <row r="121" spans="3:12" ht="15.75" customHeight="1">
      <c r="C121" s="19">
        <v>46128</v>
      </c>
      <c r="E121" s="76" t="s">
        <v>18</v>
      </c>
      <c r="H121" s="83" t="s">
        <v>549</v>
      </c>
      <c r="K121" s="2"/>
      <c r="L121" s="2"/>
    </row>
    <row r="122" spans="3:12" ht="15.75" customHeight="1">
      <c r="C122" s="19">
        <v>46129</v>
      </c>
      <c r="E122" s="76" t="s">
        <v>18</v>
      </c>
      <c r="H122" s="83" t="s">
        <v>549</v>
      </c>
      <c r="K122" s="2"/>
      <c r="L122" s="2"/>
    </row>
    <row r="123" spans="3:12" ht="15.75" customHeight="1">
      <c r="C123" s="19">
        <v>46130</v>
      </c>
      <c r="E123" s="76" t="s">
        <v>17</v>
      </c>
      <c r="H123" s="83" t="s">
        <v>554</v>
      </c>
      <c r="K123" s="2"/>
      <c r="L123" s="2"/>
    </row>
    <row r="124" spans="3:12" ht="15.75" customHeight="1">
      <c r="C124" s="19">
        <v>46131</v>
      </c>
      <c r="E124" s="76" t="s">
        <v>17</v>
      </c>
      <c r="H124" s="83" t="s">
        <v>554</v>
      </c>
      <c r="K124" s="2"/>
      <c r="L124" s="2"/>
    </row>
    <row r="125" spans="3:12" ht="15.75" customHeight="1">
      <c r="C125" s="19">
        <v>46132</v>
      </c>
      <c r="E125" s="76" t="s">
        <v>17</v>
      </c>
      <c r="H125" s="83" t="s">
        <v>554</v>
      </c>
      <c r="K125" s="2"/>
      <c r="L125" s="2"/>
    </row>
    <row r="126" spans="3:12" ht="15.75" customHeight="1">
      <c r="C126" s="19">
        <v>46133</v>
      </c>
      <c r="E126" s="76" t="s">
        <v>17</v>
      </c>
      <c r="H126" s="83" t="s">
        <v>554</v>
      </c>
      <c r="K126" s="2"/>
      <c r="L126" s="2"/>
    </row>
    <row r="127" spans="3:12" ht="15.75" customHeight="1">
      <c r="C127" s="19">
        <v>46134</v>
      </c>
      <c r="E127" s="76" t="s">
        <v>17</v>
      </c>
      <c r="H127" s="83" t="s">
        <v>554</v>
      </c>
      <c r="K127" s="2"/>
      <c r="L127" s="2"/>
    </row>
    <row r="128" spans="3:12" ht="15.75" customHeight="1">
      <c r="C128" s="19">
        <v>46135</v>
      </c>
      <c r="E128" s="76" t="s">
        <v>17</v>
      </c>
      <c r="H128" s="83" t="s">
        <v>554</v>
      </c>
      <c r="K128" s="2"/>
      <c r="L128" s="2"/>
    </row>
    <row r="129" spans="3:12" ht="15.75" customHeight="1">
      <c r="C129" s="19">
        <v>46136</v>
      </c>
      <c r="E129" s="76" t="s">
        <v>18</v>
      </c>
      <c r="H129" s="83" t="s">
        <v>549</v>
      </c>
      <c r="K129" s="2"/>
      <c r="L129" s="2"/>
    </row>
    <row r="130" spans="3:12" ht="15.75" customHeight="1">
      <c r="C130" s="19">
        <v>46137</v>
      </c>
      <c r="E130" s="76" t="s">
        <v>17</v>
      </c>
      <c r="H130" s="83" t="s">
        <v>554</v>
      </c>
      <c r="K130" s="2"/>
      <c r="L130" s="2"/>
    </row>
    <row r="131" spans="3:12" ht="15.75" customHeight="1">
      <c r="C131" s="19">
        <v>46138</v>
      </c>
      <c r="E131" s="76" t="s">
        <v>18</v>
      </c>
      <c r="H131" s="83" t="s">
        <v>549</v>
      </c>
      <c r="K131" s="2"/>
      <c r="L131" s="2"/>
    </row>
    <row r="132" spans="3:12" ht="15.75" customHeight="1">
      <c r="C132" s="13"/>
      <c r="K132" s="2"/>
      <c r="L132" s="2"/>
    </row>
    <row r="133" spans="3:12" ht="15.75" customHeight="1">
      <c r="C133" s="13"/>
      <c r="K133" s="2"/>
      <c r="L133" s="2"/>
    </row>
    <row r="134" spans="3:12" ht="15.75" customHeight="1">
      <c r="C134" s="13"/>
      <c r="K134" s="2"/>
      <c r="L134" s="2"/>
    </row>
    <row r="135" spans="3:12" ht="15.75" customHeight="1">
      <c r="C135" s="13"/>
      <c r="K135" s="2"/>
      <c r="L135" s="2"/>
    </row>
    <row r="136" spans="3:12" ht="15.75" customHeight="1">
      <c r="C136" s="13"/>
      <c r="K136" s="2"/>
      <c r="L136" s="2"/>
    </row>
    <row r="137" spans="3:12" ht="15.75" customHeight="1">
      <c r="C137" s="13"/>
      <c r="K137" s="2"/>
      <c r="L137" s="2"/>
    </row>
    <row r="138" spans="3:12" ht="15.75" customHeight="1">
      <c r="C138" s="13"/>
      <c r="K138" s="2"/>
      <c r="L138" s="2"/>
    </row>
    <row r="139" spans="3:12" ht="15.75" customHeight="1">
      <c r="C139" s="13"/>
      <c r="K139" s="2"/>
      <c r="L139" s="2"/>
    </row>
    <row r="140" spans="3:12" ht="15.75" customHeight="1">
      <c r="C140" s="13"/>
      <c r="K140" s="2"/>
      <c r="L140" s="2"/>
    </row>
    <row r="141" spans="3:12" ht="15.75" customHeight="1">
      <c r="C141" s="13"/>
      <c r="K141" s="2"/>
      <c r="L141" s="2"/>
    </row>
    <row r="142" spans="3:12" ht="15.75" customHeight="1">
      <c r="C142" s="13"/>
      <c r="K142" s="2"/>
      <c r="L142" s="2"/>
    </row>
    <row r="143" spans="3:12" ht="15.75" customHeight="1">
      <c r="C143" s="13"/>
      <c r="K143" s="2"/>
      <c r="L143" s="2"/>
    </row>
    <row r="144" spans="3:12" ht="15.75" customHeight="1">
      <c r="C144" s="13"/>
      <c r="K144" s="2"/>
      <c r="L144" s="2"/>
    </row>
    <row r="145" spans="3:12" ht="15.75" customHeight="1">
      <c r="C145" s="13"/>
      <c r="K145" s="2"/>
      <c r="L145" s="2"/>
    </row>
    <row r="146" spans="3:12" ht="15.75" customHeight="1">
      <c r="C146" s="13"/>
      <c r="K146" s="2"/>
      <c r="L146" s="2"/>
    </row>
    <row r="147" spans="3:12" ht="15.75" customHeight="1">
      <c r="C147" s="13"/>
      <c r="K147" s="2"/>
      <c r="L147" s="2"/>
    </row>
    <row r="148" spans="3:12" ht="15.75" customHeight="1">
      <c r="C148" s="13"/>
      <c r="K148" s="2"/>
      <c r="L148" s="2"/>
    </row>
    <row r="149" spans="3:12" ht="15.75" customHeight="1">
      <c r="C149" s="13"/>
      <c r="K149" s="2"/>
      <c r="L149" s="2"/>
    </row>
    <row r="150" spans="3:12" ht="15.75" customHeight="1">
      <c r="C150" s="13"/>
      <c r="K150" s="2"/>
      <c r="L150" s="2"/>
    </row>
    <row r="151" spans="3:12" ht="15.75" customHeight="1">
      <c r="C151" s="13"/>
      <c r="K151" s="2"/>
      <c r="L151" s="2"/>
    </row>
    <row r="152" spans="3:12" ht="15.75" customHeight="1">
      <c r="C152" s="13"/>
      <c r="K152" s="2"/>
      <c r="L152" s="2"/>
    </row>
    <row r="153" spans="3:12" ht="15.75" customHeight="1">
      <c r="C153" s="13"/>
      <c r="K153" s="2"/>
      <c r="L153" s="2"/>
    </row>
    <row r="154" spans="3:12" ht="15.75" customHeight="1">
      <c r="C154" s="13"/>
      <c r="K154" s="2"/>
      <c r="L154" s="2"/>
    </row>
    <row r="155" spans="3:12" ht="15.75" customHeight="1">
      <c r="C155" s="13"/>
      <c r="K155" s="2"/>
      <c r="L155" s="2"/>
    </row>
    <row r="156" spans="3:12" ht="15.75" customHeight="1">
      <c r="C156" s="13"/>
      <c r="K156" s="2"/>
      <c r="L156" s="2"/>
    </row>
    <row r="157" spans="3:12" ht="15.75" customHeight="1">
      <c r="C157" s="13"/>
      <c r="K157" s="2"/>
      <c r="L157" s="2"/>
    </row>
    <row r="158" spans="3:12" ht="15.75" customHeight="1">
      <c r="C158" s="13"/>
      <c r="K158" s="2"/>
      <c r="L158" s="2"/>
    </row>
    <row r="159" spans="3:12" ht="15.75" customHeight="1">
      <c r="C159" s="13"/>
      <c r="K159" s="2"/>
      <c r="L159" s="2"/>
    </row>
    <row r="160" spans="3:12" ht="15.75" customHeight="1">
      <c r="C160" s="13"/>
      <c r="K160" s="2"/>
      <c r="L160" s="2"/>
    </row>
    <row r="161" spans="3:12" ht="15.75" customHeight="1">
      <c r="C161" s="13"/>
      <c r="K161" s="2"/>
      <c r="L161" s="2"/>
    </row>
    <row r="162" spans="3:12" ht="15.75" customHeight="1">
      <c r="C162" s="13"/>
      <c r="K162" s="2"/>
      <c r="L162" s="2"/>
    </row>
    <row r="163" spans="3:12" ht="15.75" customHeight="1">
      <c r="C163" s="13"/>
      <c r="K163" s="2"/>
      <c r="L163" s="2"/>
    </row>
    <row r="164" spans="3:12" ht="15.75" customHeight="1">
      <c r="C164" s="13"/>
      <c r="K164" s="2"/>
      <c r="L164" s="2"/>
    </row>
    <row r="165" spans="3:12" ht="15.75" customHeight="1">
      <c r="C165" s="13"/>
      <c r="K165" s="2"/>
      <c r="L165" s="2"/>
    </row>
    <row r="166" spans="3:12" ht="15.75" customHeight="1">
      <c r="C166" s="13"/>
      <c r="K166" s="2"/>
      <c r="L166" s="2"/>
    </row>
    <row r="167" spans="3:12" ht="15.75" customHeight="1">
      <c r="C167" s="13"/>
      <c r="K167" s="2"/>
      <c r="L167" s="2"/>
    </row>
    <row r="168" spans="3:12" ht="15.75" customHeight="1">
      <c r="C168" s="13"/>
      <c r="K168" s="2"/>
      <c r="L168" s="2"/>
    </row>
    <row r="169" spans="3:12" ht="15.75" customHeight="1">
      <c r="C169" s="13"/>
      <c r="K169" s="2"/>
      <c r="L169" s="2"/>
    </row>
    <row r="170" spans="3:12" ht="15.75" customHeight="1">
      <c r="C170" s="13"/>
      <c r="K170" s="2"/>
      <c r="L170" s="2"/>
    </row>
    <row r="171" spans="3:12" ht="15.75" customHeight="1">
      <c r="C171" s="13"/>
      <c r="K171" s="2"/>
      <c r="L171" s="2"/>
    </row>
    <row r="172" spans="3:12" ht="15.75" customHeight="1">
      <c r="C172" s="13"/>
      <c r="K172" s="2"/>
      <c r="L172" s="2"/>
    </row>
    <row r="173" spans="3:12" ht="15.75" customHeight="1">
      <c r="C173" s="13"/>
      <c r="K173" s="2"/>
      <c r="L173" s="2"/>
    </row>
    <row r="174" spans="3:12" ht="15.75" customHeight="1">
      <c r="C174" s="13"/>
      <c r="K174" s="2"/>
      <c r="L174" s="2"/>
    </row>
    <row r="175" spans="3:12" ht="15.75" customHeight="1">
      <c r="C175" s="13"/>
      <c r="K175" s="2"/>
      <c r="L175" s="2"/>
    </row>
    <row r="176" spans="3:12" ht="15.75" customHeight="1">
      <c r="C176" s="13"/>
      <c r="K176" s="2"/>
      <c r="L176" s="2"/>
    </row>
    <row r="177" spans="3:12" ht="15.75" customHeight="1">
      <c r="C177" s="13"/>
      <c r="K177" s="2"/>
      <c r="L177" s="2"/>
    </row>
    <row r="178" spans="3:12" ht="15.75" customHeight="1">
      <c r="C178" s="13"/>
      <c r="K178" s="2"/>
      <c r="L178" s="2"/>
    </row>
    <row r="179" spans="3:12" ht="15.75" customHeight="1">
      <c r="C179" s="13"/>
      <c r="K179" s="2"/>
      <c r="L179" s="2"/>
    </row>
    <row r="180" spans="3:12" ht="15.75" customHeight="1">
      <c r="C180" s="13"/>
      <c r="K180" s="2"/>
      <c r="L180" s="2"/>
    </row>
    <row r="181" spans="3:12" ht="15.75" customHeight="1">
      <c r="C181" s="13"/>
      <c r="K181" s="2"/>
      <c r="L181" s="2"/>
    </row>
    <row r="182" spans="3:12" ht="15.75" customHeight="1">
      <c r="C182" s="13"/>
      <c r="K182" s="2"/>
      <c r="L182" s="2"/>
    </row>
    <row r="183" spans="3:12" ht="15.75" customHeight="1">
      <c r="C183" s="13"/>
      <c r="K183" s="2"/>
      <c r="L183" s="2"/>
    </row>
    <row r="184" spans="3:12" ht="15.75" customHeight="1">
      <c r="C184" s="13"/>
      <c r="K184" s="2"/>
      <c r="L184" s="2"/>
    </row>
    <row r="185" spans="3:12" ht="15.75" customHeight="1">
      <c r="C185" s="13"/>
      <c r="K185" s="2"/>
      <c r="L185" s="2"/>
    </row>
    <row r="186" spans="3:12" ht="15.75" customHeight="1">
      <c r="C186" s="13"/>
      <c r="K186" s="2"/>
      <c r="L186" s="2"/>
    </row>
    <row r="187" spans="3:12" ht="15.75" customHeight="1">
      <c r="C187" s="13"/>
      <c r="K187" s="2"/>
      <c r="L187" s="2"/>
    </row>
    <row r="188" spans="3:12" ht="15.75" customHeight="1">
      <c r="C188" s="13"/>
      <c r="K188" s="2"/>
      <c r="L188" s="2"/>
    </row>
    <row r="189" spans="3:12" ht="15.75" customHeight="1">
      <c r="C189" s="13"/>
      <c r="K189" s="2"/>
      <c r="L189" s="2"/>
    </row>
    <row r="190" spans="3:12" ht="15.75" customHeight="1">
      <c r="C190" s="13"/>
      <c r="K190" s="2"/>
      <c r="L190" s="2"/>
    </row>
    <row r="191" spans="3:12" ht="15.75" customHeight="1">
      <c r="C191" s="13"/>
      <c r="K191" s="2"/>
      <c r="L191" s="2"/>
    </row>
    <row r="192" spans="3:12" ht="15.75" customHeight="1">
      <c r="C192" s="13"/>
      <c r="K192" s="2"/>
      <c r="L192" s="2"/>
    </row>
    <row r="193" spans="3:12" ht="15.75" customHeight="1">
      <c r="C193" s="13"/>
      <c r="K193" s="2"/>
      <c r="L193" s="2"/>
    </row>
    <row r="194" spans="3:12" ht="15.75" customHeight="1">
      <c r="C194" s="13"/>
      <c r="K194" s="2"/>
      <c r="L194" s="2"/>
    </row>
    <row r="195" spans="3:12" ht="15.75" customHeight="1">
      <c r="C195" s="13"/>
      <c r="K195" s="2"/>
      <c r="L195" s="2"/>
    </row>
    <row r="196" spans="3:12" ht="15.75" customHeight="1">
      <c r="C196" s="13"/>
      <c r="K196" s="2"/>
      <c r="L196" s="2"/>
    </row>
    <row r="197" spans="3:12" ht="15.75" customHeight="1">
      <c r="C197" s="13"/>
      <c r="K197" s="2"/>
      <c r="L197" s="2"/>
    </row>
    <row r="198" spans="3:12" ht="15.75" customHeight="1">
      <c r="C198" s="13"/>
      <c r="K198" s="2"/>
      <c r="L198" s="2"/>
    </row>
    <row r="199" spans="3:12" ht="15.75" customHeight="1">
      <c r="C199" s="13"/>
      <c r="K199" s="2"/>
      <c r="L199" s="2"/>
    </row>
    <row r="200" spans="3:12" ht="15.75" customHeight="1">
      <c r="C200" s="13"/>
      <c r="K200" s="2"/>
      <c r="L200" s="2"/>
    </row>
    <row r="201" spans="3:12" ht="15.75" customHeight="1">
      <c r="C201" s="13"/>
      <c r="K201" s="2"/>
      <c r="L201" s="2"/>
    </row>
    <row r="202" spans="3:12" ht="15.75" customHeight="1">
      <c r="C202" s="13"/>
      <c r="K202" s="2"/>
      <c r="L202" s="2"/>
    </row>
    <row r="203" spans="3:12" ht="15.75" customHeight="1">
      <c r="C203" s="13"/>
      <c r="K203" s="2"/>
      <c r="L203" s="2"/>
    </row>
    <row r="204" spans="3:12" ht="15.75" customHeight="1">
      <c r="C204" s="13"/>
      <c r="K204" s="2"/>
      <c r="L204" s="2"/>
    </row>
    <row r="205" spans="3:12" ht="15.75" customHeight="1">
      <c r="C205" s="13"/>
      <c r="K205" s="2"/>
      <c r="L205" s="2"/>
    </row>
    <row r="206" spans="3:12" ht="15.75" customHeight="1">
      <c r="C206" s="13"/>
      <c r="K206" s="2"/>
      <c r="L206" s="2"/>
    </row>
    <row r="207" spans="3:12" ht="15.75" customHeight="1">
      <c r="C207" s="13"/>
      <c r="K207" s="2"/>
      <c r="L207" s="2"/>
    </row>
    <row r="208" spans="3:12" ht="15.75" customHeight="1">
      <c r="C208" s="13"/>
      <c r="K208" s="2"/>
      <c r="L208" s="2"/>
    </row>
    <row r="209" spans="3:12" ht="15.75" customHeight="1">
      <c r="C209" s="13"/>
      <c r="K209" s="2"/>
      <c r="L209" s="2"/>
    </row>
    <row r="210" spans="3:12" ht="15.75" customHeight="1">
      <c r="C210" s="13"/>
      <c r="K210" s="2"/>
      <c r="L210" s="2"/>
    </row>
    <row r="211" spans="3:12" ht="15.75" customHeight="1">
      <c r="C211" s="13"/>
      <c r="K211" s="2"/>
      <c r="L211" s="2"/>
    </row>
    <row r="212" spans="3:12" ht="15.75" customHeight="1">
      <c r="C212" s="13"/>
      <c r="K212" s="2"/>
      <c r="L212" s="2"/>
    </row>
    <row r="213" spans="3:12" ht="15.75" customHeight="1">
      <c r="C213" s="13"/>
      <c r="K213" s="2"/>
      <c r="L213" s="2"/>
    </row>
    <row r="214" spans="3:12" ht="15.75" customHeight="1">
      <c r="C214" s="13"/>
      <c r="K214" s="2"/>
      <c r="L214" s="2"/>
    </row>
    <row r="215" spans="3:12" ht="15.75" customHeight="1">
      <c r="C215" s="13"/>
      <c r="K215" s="2"/>
      <c r="L215" s="2"/>
    </row>
    <row r="216" spans="3:12" ht="15.75" customHeight="1">
      <c r="C216" s="13"/>
      <c r="K216" s="2"/>
      <c r="L216" s="2"/>
    </row>
    <row r="217" spans="3:12" ht="15.75" customHeight="1">
      <c r="C217" s="13"/>
      <c r="K217" s="2"/>
      <c r="L217" s="2"/>
    </row>
    <row r="218" spans="3:12" ht="15.75" customHeight="1">
      <c r="C218" s="13"/>
      <c r="K218" s="2"/>
      <c r="L218" s="2"/>
    </row>
    <row r="219" spans="3:12" ht="15.75" customHeight="1">
      <c r="C219" s="13"/>
      <c r="K219" s="2"/>
      <c r="L219" s="2"/>
    </row>
    <row r="220" spans="3:12" ht="15.75" customHeight="1">
      <c r="C220" s="13"/>
      <c r="K220" s="2"/>
      <c r="L220" s="2"/>
    </row>
    <row r="221" spans="3:12" ht="15.75" customHeight="1">
      <c r="C221" s="13"/>
      <c r="K221" s="2"/>
      <c r="L221" s="2"/>
    </row>
    <row r="222" spans="3:12" ht="15.75" customHeight="1">
      <c r="C222" s="13"/>
      <c r="K222" s="2"/>
      <c r="L222" s="2"/>
    </row>
    <row r="223" spans="3:12" ht="15.75" customHeight="1">
      <c r="C223" s="13"/>
      <c r="K223" s="2"/>
      <c r="L223" s="2"/>
    </row>
    <row r="224" spans="3:12" ht="15.75" customHeight="1">
      <c r="C224" s="13"/>
      <c r="K224" s="2"/>
      <c r="L224" s="2"/>
    </row>
    <row r="225" spans="3:12" ht="15.75" customHeight="1">
      <c r="C225" s="13"/>
      <c r="K225" s="2"/>
      <c r="L225" s="2"/>
    </row>
    <row r="226" spans="3:12" ht="15.75" customHeight="1">
      <c r="C226" s="13"/>
      <c r="K226" s="2"/>
      <c r="L226" s="2"/>
    </row>
    <row r="227" spans="3:12" ht="15.75" customHeight="1">
      <c r="C227" s="13"/>
      <c r="K227" s="2"/>
      <c r="L227" s="2"/>
    </row>
    <row r="228" spans="3:12" ht="15.75" customHeight="1">
      <c r="C228" s="13"/>
      <c r="K228" s="2"/>
      <c r="L228" s="2"/>
    </row>
    <row r="229" spans="3:12" ht="15.75" customHeight="1">
      <c r="C229" s="13"/>
      <c r="K229" s="2"/>
      <c r="L229" s="2"/>
    </row>
    <row r="230" spans="3:12" ht="15.75" customHeight="1">
      <c r="C230" s="13"/>
      <c r="K230" s="2"/>
      <c r="L230" s="2"/>
    </row>
    <row r="231" spans="3:12" ht="15.75" customHeight="1">
      <c r="C231" s="13"/>
      <c r="K231" s="2"/>
      <c r="L231" s="2"/>
    </row>
    <row r="232" spans="3:12" ht="15.75" customHeight="1">
      <c r="C232" s="13"/>
      <c r="K232" s="2"/>
      <c r="L232" s="2"/>
    </row>
    <row r="233" spans="3:12" ht="15.75" customHeight="1">
      <c r="C233" s="13"/>
      <c r="K233" s="2"/>
      <c r="L233" s="2"/>
    </row>
    <row r="234" spans="3:12" ht="15.75" customHeight="1">
      <c r="C234" s="13"/>
      <c r="K234" s="2"/>
      <c r="L234" s="2"/>
    </row>
    <row r="235" spans="3:12" ht="15.75" customHeight="1">
      <c r="C235" s="13"/>
      <c r="K235" s="2"/>
      <c r="L235" s="2"/>
    </row>
    <row r="236" spans="3:12" ht="15.75" customHeight="1">
      <c r="C236" s="13"/>
      <c r="K236" s="2"/>
      <c r="L236" s="2"/>
    </row>
    <row r="237" spans="3:12" ht="15.75" customHeight="1">
      <c r="C237" s="13"/>
      <c r="K237" s="2"/>
      <c r="L237" s="2"/>
    </row>
    <row r="238" spans="3:12" ht="15.75" customHeight="1">
      <c r="C238" s="13"/>
      <c r="K238" s="2"/>
      <c r="L238" s="2"/>
    </row>
    <row r="239" spans="3:12" ht="15.75" customHeight="1">
      <c r="C239" s="13"/>
      <c r="K239" s="2"/>
      <c r="L239" s="2"/>
    </row>
    <row r="240" spans="3:12" ht="15.75" customHeight="1">
      <c r="C240" s="13"/>
      <c r="K240" s="2"/>
      <c r="L240" s="2"/>
    </row>
    <row r="241" spans="3:12" ht="15.75" customHeight="1">
      <c r="C241" s="13"/>
      <c r="K241" s="2"/>
      <c r="L241" s="2"/>
    </row>
    <row r="242" spans="3:12" ht="15.75" customHeight="1">
      <c r="C242" s="13"/>
      <c r="K242" s="2"/>
      <c r="L242" s="2"/>
    </row>
    <row r="243" spans="3:12" ht="15.75" customHeight="1">
      <c r="C243" s="13"/>
      <c r="K243" s="2"/>
      <c r="L243" s="2"/>
    </row>
    <row r="244" spans="3:12" ht="15.75" customHeight="1">
      <c r="C244" s="13"/>
      <c r="K244" s="2"/>
      <c r="L244" s="2"/>
    </row>
    <row r="245" spans="3:12" ht="15.75" customHeight="1">
      <c r="C245" s="13"/>
      <c r="K245" s="2"/>
      <c r="L245" s="2"/>
    </row>
    <row r="246" spans="3:12" ht="15.75" customHeight="1">
      <c r="C246" s="13"/>
      <c r="K246" s="2"/>
      <c r="L246" s="2"/>
    </row>
    <row r="247" spans="3:12" ht="15.75" customHeight="1">
      <c r="C247" s="13"/>
      <c r="K247" s="2"/>
      <c r="L247" s="2"/>
    </row>
    <row r="248" spans="3:12" ht="15.75" customHeight="1">
      <c r="C248" s="13"/>
      <c r="K248" s="2"/>
      <c r="L248" s="2"/>
    </row>
    <row r="249" spans="3:12" ht="15.75" customHeight="1">
      <c r="C249" s="13"/>
      <c r="K249" s="2"/>
      <c r="L249" s="2"/>
    </row>
    <row r="250" spans="3:12" ht="15.75" customHeight="1">
      <c r="C250" s="13"/>
      <c r="K250" s="2"/>
      <c r="L250" s="2"/>
    </row>
    <row r="251" spans="3:12" ht="15.75" customHeight="1">
      <c r="C251" s="13"/>
      <c r="K251" s="2"/>
      <c r="L251" s="2"/>
    </row>
    <row r="252" spans="3:12" ht="15.75" customHeight="1">
      <c r="C252" s="13"/>
      <c r="K252" s="2"/>
      <c r="L252" s="2"/>
    </row>
    <row r="253" spans="3:12" ht="15.75" customHeight="1">
      <c r="C253" s="13"/>
      <c r="K253" s="2"/>
      <c r="L253" s="2"/>
    </row>
    <row r="254" spans="3:12" ht="15.75" customHeight="1">
      <c r="C254" s="13"/>
      <c r="K254" s="2"/>
      <c r="L254" s="2"/>
    </row>
    <row r="255" spans="3:12" ht="15.75" customHeight="1">
      <c r="C255" s="13"/>
      <c r="K255" s="2"/>
      <c r="L255" s="2"/>
    </row>
    <row r="256" spans="3:12" ht="15.75" customHeight="1">
      <c r="C256" s="13"/>
      <c r="K256" s="2"/>
      <c r="L256" s="2"/>
    </row>
    <row r="257" spans="3:12" ht="15.75" customHeight="1">
      <c r="C257" s="13"/>
      <c r="K257" s="2"/>
      <c r="L257" s="2"/>
    </row>
    <row r="258" spans="3:12" ht="15.75" customHeight="1">
      <c r="C258" s="13"/>
      <c r="K258" s="2"/>
      <c r="L258" s="2"/>
    </row>
    <row r="259" spans="3:12" ht="15.75" customHeight="1">
      <c r="C259" s="13"/>
      <c r="K259" s="2"/>
      <c r="L259" s="2"/>
    </row>
    <row r="260" spans="3:12" ht="15.75" customHeight="1">
      <c r="C260" s="13"/>
      <c r="K260" s="2"/>
      <c r="L260" s="2"/>
    </row>
    <row r="261" spans="3:12" ht="15.75" customHeight="1">
      <c r="C261" s="13"/>
      <c r="K261" s="2"/>
      <c r="L261" s="2"/>
    </row>
    <row r="262" spans="3:12" ht="15.75" customHeight="1">
      <c r="C262" s="13"/>
      <c r="K262" s="2"/>
      <c r="L262" s="2"/>
    </row>
    <row r="263" spans="3:12" ht="15.75" customHeight="1">
      <c r="C263" s="13"/>
      <c r="K263" s="2"/>
      <c r="L263" s="2"/>
    </row>
    <row r="264" spans="3:12" ht="15.75" customHeight="1">
      <c r="C264" s="13"/>
      <c r="K264" s="2"/>
      <c r="L264" s="2"/>
    </row>
    <row r="265" spans="3:12" ht="15.75" customHeight="1">
      <c r="C265" s="13"/>
      <c r="K265" s="2"/>
      <c r="L265" s="2"/>
    </row>
    <row r="266" spans="3:12" ht="15.75" customHeight="1">
      <c r="C266" s="13"/>
      <c r="K266" s="2"/>
      <c r="L266" s="2"/>
    </row>
    <row r="267" spans="3:12" ht="15.75" customHeight="1">
      <c r="C267" s="13"/>
      <c r="K267" s="2"/>
      <c r="L267" s="2"/>
    </row>
    <row r="268" spans="3:12" ht="15.75" customHeight="1">
      <c r="C268" s="13"/>
      <c r="K268" s="2"/>
      <c r="L268" s="2"/>
    </row>
    <row r="269" spans="3:12" ht="15.75" customHeight="1">
      <c r="C269" s="13"/>
      <c r="K269" s="2"/>
      <c r="L269" s="2"/>
    </row>
    <row r="270" spans="3:12" ht="15.75" customHeight="1">
      <c r="C270" s="13"/>
      <c r="K270" s="2"/>
      <c r="L270" s="2"/>
    </row>
    <row r="271" spans="3:12" ht="15.75" customHeight="1">
      <c r="C271" s="13"/>
      <c r="K271" s="2"/>
      <c r="L271" s="2"/>
    </row>
    <row r="272" spans="3:12" ht="15.75" customHeight="1">
      <c r="C272" s="13"/>
      <c r="K272" s="2"/>
      <c r="L272" s="2"/>
    </row>
    <row r="273" spans="3:12" ht="15.75" customHeight="1">
      <c r="C273" s="13"/>
      <c r="K273" s="2"/>
      <c r="L273" s="2"/>
    </row>
    <row r="274" spans="3:12" ht="15.75" customHeight="1">
      <c r="C274" s="13"/>
      <c r="K274" s="2"/>
      <c r="L274" s="2"/>
    </row>
    <row r="275" spans="3:12" ht="15.75" customHeight="1">
      <c r="C275" s="13"/>
      <c r="K275" s="2"/>
      <c r="L275" s="2"/>
    </row>
    <row r="276" spans="3:12" ht="15.75" customHeight="1">
      <c r="C276" s="13"/>
      <c r="K276" s="2"/>
      <c r="L276" s="2"/>
    </row>
    <row r="277" spans="3:12" ht="15.75" customHeight="1">
      <c r="C277" s="13"/>
      <c r="K277" s="2"/>
      <c r="L277" s="2"/>
    </row>
    <row r="278" spans="3:12" ht="15.75" customHeight="1">
      <c r="C278" s="13"/>
      <c r="K278" s="2"/>
      <c r="L278" s="2"/>
    </row>
    <row r="279" spans="3:12" ht="15.75" customHeight="1">
      <c r="C279" s="13"/>
      <c r="K279" s="2"/>
      <c r="L279" s="2"/>
    </row>
    <row r="280" spans="3:12" ht="15.75" customHeight="1">
      <c r="C280" s="13"/>
      <c r="K280" s="2"/>
      <c r="L280" s="2"/>
    </row>
    <row r="281" spans="3:12" ht="15.75" customHeight="1">
      <c r="C281" s="13"/>
      <c r="K281" s="2"/>
      <c r="L281" s="2"/>
    </row>
    <row r="282" spans="3:12" ht="15.75" customHeight="1">
      <c r="C282" s="13"/>
      <c r="K282" s="2"/>
      <c r="L282" s="2"/>
    </row>
    <row r="283" spans="3:12" ht="15.75" customHeight="1">
      <c r="C283" s="13"/>
      <c r="K283" s="2"/>
      <c r="L283" s="2"/>
    </row>
    <row r="284" spans="3:12" ht="15.75" customHeight="1">
      <c r="C284" s="13"/>
      <c r="K284" s="2"/>
      <c r="L284" s="2"/>
    </row>
    <row r="285" spans="3:12" ht="15.75" customHeight="1">
      <c r="C285" s="13"/>
      <c r="K285" s="2"/>
      <c r="L285" s="2"/>
    </row>
    <row r="286" spans="3:12" ht="15.75" customHeight="1">
      <c r="C286" s="13"/>
      <c r="K286" s="2"/>
      <c r="L286" s="2"/>
    </row>
    <row r="287" spans="3:12" ht="15.75" customHeight="1">
      <c r="C287" s="13"/>
      <c r="K287" s="2"/>
      <c r="L287" s="2"/>
    </row>
    <row r="288" spans="3:12" ht="15.75" customHeight="1">
      <c r="C288" s="13"/>
      <c r="K288" s="2"/>
      <c r="L288" s="2"/>
    </row>
    <row r="289" spans="3:12" ht="15.75" customHeight="1">
      <c r="C289" s="13"/>
      <c r="K289" s="2"/>
      <c r="L289" s="2"/>
    </row>
    <row r="290" spans="3:12" ht="15.75" customHeight="1">
      <c r="C290" s="13"/>
      <c r="K290" s="2"/>
      <c r="L290" s="2"/>
    </row>
    <row r="291" spans="3:12" ht="15.75" customHeight="1">
      <c r="C291" s="13"/>
      <c r="K291" s="2"/>
      <c r="L291" s="2"/>
    </row>
    <row r="292" spans="3:12" ht="15.75" customHeight="1">
      <c r="C292" s="13"/>
      <c r="K292" s="2"/>
      <c r="L292" s="2"/>
    </row>
    <row r="293" spans="3:12" ht="15.75" customHeight="1">
      <c r="C293" s="13"/>
      <c r="K293" s="2"/>
      <c r="L293" s="2"/>
    </row>
    <row r="294" spans="3:12" ht="15.75" customHeight="1">
      <c r="C294" s="13"/>
      <c r="K294" s="2"/>
      <c r="L294" s="2"/>
    </row>
    <row r="295" spans="3:12" ht="15.75" customHeight="1">
      <c r="C295" s="13"/>
      <c r="K295" s="2"/>
      <c r="L295" s="2"/>
    </row>
    <row r="296" spans="3:12" ht="15.75" customHeight="1">
      <c r="C296" s="13"/>
      <c r="K296" s="2"/>
      <c r="L296" s="2"/>
    </row>
    <row r="297" spans="3:12" ht="15.75" customHeight="1">
      <c r="C297" s="13"/>
      <c r="K297" s="2"/>
      <c r="L297" s="2"/>
    </row>
    <row r="298" spans="3:12" ht="15.75" customHeight="1">
      <c r="C298" s="13"/>
      <c r="K298" s="2"/>
      <c r="L298" s="2"/>
    </row>
    <row r="299" spans="3:12" ht="15.75" customHeight="1">
      <c r="C299" s="13"/>
      <c r="K299" s="2"/>
      <c r="L299" s="2"/>
    </row>
    <row r="300" spans="3:12" ht="15.75" customHeight="1">
      <c r="C300" s="13"/>
      <c r="K300" s="2"/>
      <c r="L300" s="2"/>
    </row>
    <row r="301" spans="3:12" ht="15.75" customHeight="1">
      <c r="C301" s="13"/>
      <c r="K301" s="2"/>
      <c r="L301" s="2"/>
    </row>
    <row r="302" spans="3:12" ht="15.75" customHeight="1">
      <c r="C302" s="13"/>
      <c r="K302" s="2"/>
      <c r="L302" s="2"/>
    </row>
    <row r="303" spans="3:12" ht="15.75" customHeight="1">
      <c r="C303" s="13"/>
      <c r="K303" s="2"/>
      <c r="L303" s="2"/>
    </row>
    <row r="304" spans="3:12" ht="15.75" customHeight="1">
      <c r="C304" s="13"/>
      <c r="K304" s="2"/>
      <c r="L304" s="2"/>
    </row>
    <row r="305" spans="3:12" ht="15.75" customHeight="1">
      <c r="C305" s="13"/>
      <c r="K305" s="2"/>
      <c r="L305" s="2"/>
    </row>
    <row r="306" spans="3:12" ht="15.75" customHeight="1">
      <c r="C306" s="13"/>
      <c r="K306" s="2"/>
      <c r="L306" s="2"/>
    </row>
    <row r="307" spans="3:12" ht="15.75" customHeight="1">
      <c r="C307" s="13"/>
      <c r="K307" s="2"/>
      <c r="L307" s="2"/>
    </row>
    <row r="308" spans="3:12" ht="15.75" customHeight="1">
      <c r="C308" s="13"/>
      <c r="K308" s="2"/>
      <c r="L308" s="2"/>
    </row>
    <row r="309" spans="3:12" ht="15.75" customHeight="1">
      <c r="C309" s="13"/>
      <c r="K309" s="2"/>
      <c r="L309" s="2"/>
    </row>
    <row r="310" spans="3:12" ht="15.75" customHeight="1">
      <c r="C310" s="13"/>
      <c r="K310" s="2"/>
      <c r="L310" s="2"/>
    </row>
    <row r="311" spans="3:12" ht="15.75" customHeight="1">
      <c r="C311" s="13"/>
      <c r="K311" s="2"/>
      <c r="L311" s="2"/>
    </row>
    <row r="312" spans="3:12" ht="15.75" customHeight="1">
      <c r="C312" s="13"/>
      <c r="K312" s="2"/>
      <c r="L312" s="2"/>
    </row>
    <row r="313" spans="3:12" ht="15.75" customHeight="1">
      <c r="C313" s="13"/>
      <c r="K313" s="2"/>
      <c r="L313" s="2"/>
    </row>
    <row r="314" spans="3:12" ht="15.75" customHeight="1">
      <c r="C314" s="13"/>
      <c r="K314" s="2"/>
      <c r="L314" s="2"/>
    </row>
    <row r="315" spans="3:12" ht="15.75" customHeight="1">
      <c r="C315" s="13"/>
      <c r="K315" s="2"/>
      <c r="L315" s="2"/>
    </row>
    <row r="316" spans="3:12" ht="15.75" customHeight="1">
      <c r="C316" s="13"/>
      <c r="K316" s="2"/>
      <c r="L316" s="2"/>
    </row>
    <row r="317" spans="3:12" ht="15.75" customHeight="1">
      <c r="C317" s="13"/>
      <c r="K317" s="2"/>
      <c r="L317" s="2"/>
    </row>
    <row r="318" spans="3:12" ht="15.75" customHeight="1">
      <c r="C318" s="13"/>
      <c r="K318" s="2"/>
      <c r="L318" s="2"/>
    </row>
    <row r="319" spans="3:12" ht="15.75" customHeight="1">
      <c r="C319" s="13"/>
      <c r="K319" s="2"/>
      <c r="L319" s="2"/>
    </row>
    <row r="320" spans="3:12" ht="15.75" customHeight="1">
      <c r="C320" s="13"/>
      <c r="K320" s="2"/>
      <c r="L320" s="2"/>
    </row>
    <row r="321" spans="3:12" ht="15.75" customHeight="1">
      <c r="C321" s="13"/>
      <c r="K321" s="2"/>
      <c r="L321" s="2"/>
    </row>
    <row r="322" spans="3:12" ht="15.75" customHeight="1">
      <c r="C322" s="13"/>
      <c r="K322" s="2"/>
      <c r="L322" s="2"/>
    </row>
    <row r="323" spans="3:12" ht="15.75" customHeight="1">
      <c r="C323" s="13"/>
      <c r="K323" s="2"/>
      <c r="L323" s="2"/>
    </row>
    <row r="324" spans="3:12" ht="15.75" customHeight="1">
      <c r="C324" s="13"/>
      <c r="K324" s="2"/>
      <c r="L324" s="2"/>
    </row>
    <row r="325" spans="3:12" ht="15.75" customHeight="1">
      <c r="C325" s="13"/>
      <c r="K325" s="2"/>
      <c r="L325" s="2"/>
    </row>
    <row r="326" spans="3:12" ht="15.75" customHeight="1">
      <c r="C326" s="13"/>
      <c r="K326" s="2"/>
      <c r="L326" s="2"/>
    </row>
    <row r="327" spans="3:12" ht="15.75" customHeight="1">
      <c r="C327" s="13"/>
      <c r="K327" s="2"/>
      <c r="L327" s="2"/>
    </row>
    <row r="328" spans="3:12" ht="15.75" customHeight="1">
      <c r="C328" s="13"/>
      <c r="K328" s="2"/>
      <c r="L328" s="2"/>
    </row>
    <row r="329" spans="3:12" ht="15.75" customHeight="1">
      <c r="C329" s="13"/>
      <c r="K329" s="2"/>
      <c r="L329" s="2"/>
    </row>
    <row r="330" spans="3:12" ht="15.75" customHeight="1">
      <c r="C330" s="13"/>
      <c r="K330" s="2"/>
      <c r="L330" s="2"/>
    </row>
    <row r="331" spans="3:12" ht="15.75" customHeight="1">
      <c r="C331" s="13"/>
      <c r="K331" s="2"/>
      <c r="L331" s="2"/>
    </row>
    <row r="332" spans="3:12" ht="15.75" customHeight="1">
      <c r="C332" s="13"/>
      <c r="K332" s="2"/>
      <c r="L332" s="2"/>
    </row>
    <row r="333" spans="3:12" ht="15.75" customHeight="1">
      <c r="C333" s="13"/>
      <c r="K333" s="2"/>
      <c r="L333" s="2"/>
    </row>
    <row r="334" spans="3:12" ht="15.75" customHeight="1">
      <c r="C334" s="13"/>
      <c r="K334" s="2"/>
      <c r="L334" s="2"/>
    </row>
    <row r="335" spans="3:12" ht="15.75" customHeight="1">
      <c r="C335" s="13"/>
      <c r="K335" s="2"/>
      <c r="L335" s="2"/>
    </row>
    <row r="336" spans="3:12" ht="15.75" customHeight="1">
      <c r="C336" s="13"/>
      <c r="K336" s="2"/>
      <c r="L336" s="2"/>
    </row>
    <row r="337" spans="3:12" ht="15.75" customHeight="1">
      <c r="C337" s="13"/>
      <c r="K337" s="2"/>
      <c r="L337" s="2"/>
    </row>
    <row r="338" spans="3:12" ht="15.75" customHeight="1">
      <c r="C338" s="13"/>
      <c r="K338" s="2"/>
      <c r="L338" s="2"/>
    </row>
    <row r="339" spans="3:12" ht="15.75" customHeight="1">
      <c r="C339" s="13"/>
      <c r="K339" s="2"/>
      <c r="L339" s="2"/>
    </row>
    <row r="340" spans="3:12" ht="15.75" customHeight="1">
      <c r="C340" s="13"/>
      <c r="K340" s="2"/>
      <c r="L340" s="2"/>
    </row>
    <row r="341" spans="3:12" ht="15.75" customHeight="1">
      <c r="C341" s="13"/>
      <c r="K341" s="2"/>
      <c r="L341" s="2"/>
    </row>
    <row r="342" spans="3:12" ht="15.75" customHeight="1">
      <c r="C342" s="13"/>
      <c r="K342" s="2"/>
      <c r="L342" s="2"/>
    </row>
    <row r="343" spans="3:12" ht="15.75" customHeight="1">
      <c r="C343" s="13"/>
      <c r="K343" s="2"/>
      <c r="L343" s="2"/>
    </row>
    <row r="344" spans="3:12" ht="15.75" customHeight="1">
      <c r="C344" s="13"/>
      <c r="K344" s="2"/>
      <c r="L344" s="2"/>
    </row>
    <row r="345" spans="3:12" ht="15.75" customHeight="1">
      <c r="C345" s="13"/>
      <c r="K345" s="2"/>
      <c r="L345" s="2"/>
    </row>
    <row r="346" spans="3:12" ht="15.75" customHeight="1">
      <c r="C346" s="13"/>
      <c r="K346" s="2"/>
      <c r="L346" s="2"/>
    </row>
    <row r="347" spans="3:12" ht="15.75" customHeight="1">
      <c r="C347" s="13"/>
      <c r="K347" s="2"/>
      <c r="L347" s="2"/>
    </row>
    <row r="348" spans="3:12" ht="15.75" customHeight="1">
      <c r="C348" s="13"/>
      <c r="K348" s="2"/>
      <c r="L348" s="2"/>
    </row>
    <row r="349" spans="3:12" ht="15.75" customHeight="1">
      <c r="C349" s="13"/>
      <c r="K349" s="2"/>
      <c r="L349" s="2"/>
    </row>
    <row r="350" spans="3:12" ht="15.75" customHeight="1">
      <c r="C350" s="13"/>
      <c r="K350" s="2"/>
      <c r="L350" s="2"/>
    </row>
    <row r="351" spans="3:12" ht="15.75" customHeight="1">
      <c r="C351" s="13"/>
      <c r="K351" s="2"/>
      <c r="L351" s="2"/>
    </row>
    <row r="352" spans="3:12" ht="15.75" customHeight="1">
      <c r="C352" s="13"/>
      <c r="K352" s="2"/>
      <c r="L352" s="2"/>
    </row>
    <row r="353" spans="3:12" ht="15.75" customHeight="1">
      <c r="C353" s="13"/>
      <c r="K353" s="2"/>
      <c r="L353" s="2"/>
    </row>
    <row r="354" spans="3:12" ht="15.75" customHeight="1">
      <c r="C354" s="13"/>
      <c r="K354" s="2"/>
      <c r="L354" s="2"/>
    </row>
    <row r="355" spans="3:12" ht="15.75" customHeight="1">
      <c r="C355" s="13"/>
      <c r="K355" s="2"/>
      <c r="L355" s="2"/>
    </row>
    <row r="356" spans="3:12" ht="15.75" customHeight="1">
      <c r="C356" s="13"/>
      <c r="K356" s="2"/>
      <c r="L356" s="2"/>
    </row>
    <row r="357" spans="3:12" ht="15.75" customHeight="1">
      <c r="C357" s="13"/>
      <c r="K357" s="2"/>
      <c r="L357" s="2"/>
    </row>
    <row r="358" spans="3:12" ht="15.75" customHeight="1">
      <c r="C358" s="13"/>
      <c r="K358" s="2"/>
      <c r="L358" s="2"/>
    </row>
    <row r="359" spans="3:12" ht="15.75" customHeight="1">
      <c r="C359" s="13"/>
      <c r="K359" s="2"/>
      <c r="L359" s="2"/>
    </row>
    <row r="360" spans="3:12" ht="15.75" customHeight="1">
      <c r="C360" s="13"/>
      <c r="K360" s="2"/>
      <c r="L360" s="2"/>
    </row>
    <row r="361" spans="3:12" ht="15.75" customHeight="1">
      <c r="C361" s="13"/>
      <c r="K361" s="2"/>
      <c r="L361" s="2"/>
    </row>
    <row r="362" spans="3:12" ht="15.75" customHeight="1">
      <c r="C362" s="13"/>
      <c r="K362" s="2"/>
      <c r="L362" s="2"/>
    </row>
    <row r="363" spans="3:12" ht="15.75" customHeight="1">
      <c r="C363" s="13"/>
      <c r="K363" s="2"/>
      <c r="L363" s="2"/>
    </row>
    <row r="364" spans="3:12" ht="15.75" customHeight="1">
      <c r="C364" s="13"/>
      <c r="K364" s="2"/>
      <c r="L364" s="2"/>
    </row>
    <row r="365" spans="3:12" ht="15.75" customHeight="1">
      <c r="C365" s="13"/>
      <c r="K365" s="2"/>
      <c r="L365" s="2"/>
    </row>
    <row r="366" spans="3:12" ht="15.75" customHeight="1">
      <c r="C366" s="13"/>
      <c r="K366" s="2"/>
      <c r="L366" s="2"/>
    </row>
    <row r="367" spans="3:12" ht="15.75" customHeight="1">
      <c r="C367" s="13"/>
      <c r="K367" s="2"/>
      <c r="L367" s="2"/>
    </row>
    <row r="368" spans="3:12" ht="15.75" customHeight="1">
      <c r="C368" s="13"/>
      <c r="K368" s="2"/>
      <c r="L368" s="2"/>
    </row>
    <row r="369" spans="3:12" ht="15.75" customHeight="1">
      <c r="C369" s="13"/>
      <c r="K369" s="2"/>
      <c r="L369" s="2"/>
    </row>
    <row r="370" spans="3:12" ht="15.75" customHeight="1">
      <c r="C370" s="13"/>
      <c r="K370" s="2"/>
      <c r="L370" s="2"/>
    </row>
    <row r="371" spans="3:12" ht="15.75" customHeight="1">
      <c r="C371" s="13"/>
      <c r="K371" s="2"/>
      <c r="L371" s="2"/>
    </row>
    <row r="372" spans="3:12" ht="15.75" customHeight="1">
      <c r="C372" s="13"/>
      <c r="K372" s="2"/>
      <c r="L372" s="2"/>
    </row>
    <row r="373" spans="3:12" ht="15.75" customHeight="1">
      <c r="C373" s="13"/>
      <c r="K373" s="2"/>
      <c r="L373" s="2"/>
    </row>
    <row r="374" spans="3:12" ht="15.75" customHeight="1">
      <c r="C374" s="13"/>
      <c r="K374" s="2"/>
      <c r="L374" s="2"/>
    </row>
    <row r="375" spans="3:12" ht="15.75" customHeight="1">
      <c r="C375" s="13"/>
      <c r="K375" s="2"/>
      <c r="L375" s="2"/>
    </row>
    <row r="376" spans="3:12" ht="15.75" customHeight="1">
      <c r="C376" s="13"/>
      <c r="K376" s="2"/>
      <c r="L376" s="2"/>
    </row>
    <row r="377" spans="3:12" ht="15.75" customHeight="1">
      <c r="C377" s="13"/>
      <c r="K377" s="2"/>
      <c r="L377" s="2"/>
    </row>
    <row r="378" spans="3:12" ht="15.75" customHeight="1">
      <c r="C378" s="13"/>
      <c r="K378" s="2"/>
      <c r="L378" s="2"/>
    </row>
    <row r="379" spans="3:12" ht="15.75" customHeight="1">
      <c r="C379" s="13"/>
      <c r="K379" s="2"/>
      <c r="L379" s="2"/>
    </row>
    <row r="380" spans="3:12" ht="15.75" customHeight="1">
      <c r="C380" s="13"/>
      <c r="K380" s="2"/>
      <c r="L380" s="2"/>
    </row>
    <row r="381" spans="3:12" ht="15.75" customHeight="1">
      <c r="C381" s="13"/>
      <c r="K381" s="2"/>
      <c r="L381" s="2"/>
    </row>
    <row r="382" spans="3:12" ht="15.75" customHeight="1">
      <c r="C382" s="13"/>
      <c r="K382" s="2"/>
      <c r="L382" s="2"/>
    </row>
    <row r="383" spans="3:12" ht="15.75" customHeight="1">
      <c r="C383" s="13"/>
      <c r="K383" s="2"/>
      <c r="L383" s="2"/>
    </row>
    <row r="384" spans="3:12" ht="15.75" customHeight="1">
      <c r="C384" s="13"/>
      <c r="K384" s="2"/>
      <c r="L384" s="2"/>
    </row>
    <row r="385" spans="3:12" ht="15.75" customHeight="1">
      <c r="C385" s="13"/>
      <c r="K385" s="2"/>
      <c r="L385" s="2"/>
    </row>
    <row r="386" spans="3:12" ht="15.75" customHeight="1">
      <c r="C386" s="13"/>
      <c r="K386" s="2"/>
      <c r="L386" s="2"/>
    </row>
    <row r="387" spans="3:12" ht="15.75" customHeight="1">
      <c r="C387" s="13"/>
      <c r="K387" s="2"/>
      <c r="L387" s="2"/>
    </row>
    <row r="388" spans="3:12" ht="15.75" customHeight="1">
      <c r="C388" s="13"/>
      <c r="K388" s="2"/>
      <c r="L388" s="2"/>
    </row>
    <row r="389" spans="3:12" ht="15.75" customHeight="1">
      <c r="C389" s="13"/>
      <c r="K389" s="2"/>
      <c r="L389" s="2"/>
    </row>
    <row r="390" spans="3:12" ht="15.75" customHeight="1">
      <c r="C390" s="13"/>
      <c r="K390" s="2"/>
      <c r="L390" s="2"/>
    </row>
    <row r="391" spans="3:12" ht="15.75" customHeight="1">
      <c r="C391" s="13"/>
      <c r="K391" s="2"/>
      <c r="L391" s="2"/>
    </row>
    <row r="392" spans="3:12" ht="15.75" customHeight="1">
      <c r="C392" s="13"/>
      <c r="K392" s="2"/>
      <c r="L392" s="2"/>
    </row>
    <row r="393" spans="3:12" ht="15.75" customHeight="1">
      <c r="C393" s="13"/>
      <c r="K393" s="2"/>
      <c r="L393" s="2"/>
    </row>
    <row r="394" spans="3:12" ht="15.75" customHeight="1">
      <c r="C394" s="13"/>
      <c r="K394" s="2"/>
      <c r="L394" s="2"/>
    </row>
    <row r="395" spans="3:12" ht="15.75" customHeight="1">
      <c r="C395" s="13"/>
      <c r="K395" s="2"/>
      <c r="L395" s="2"/>
    </row>
    <row r="396" spans="3:12" ht="15.75" customHeight="1">
      <c r="C396" s="13"/>
      <c r="K396" s="2"/>
      <c r="L396" s="2"/>
    </row>
    <row r="397" spans="3:12" ht="15.75" customHeight="1">
      <c r="C397" s="13"/>
      <c r="K397" s="2"/>
      <c r="L397" s="2"/>
    </row>
    <row r="398" spans="3:12" ht="15.75" customHeight="1">
      <c r="C398" s="13"/>
      <c r="K398" s="2"/>
      <c r="L398" s="2"/>
    </row>
    <row r="399" spans="3:12" ht="15.75" customHeight="1">
      <c r="C399" s="13"/>
      <c r="K399" s="2"/>
      <c r="L399" s="2"/>
    </row>
    <row r="400" spans="3:12" ht="15.75" customHeight="1">
      <c r="C400" s="13"/>
      <c r="K400" s="2"/>
      <c r="L400" s="2"/>
    </row>
    <row r="401" spans="3:12" ht="15.75" customHeight="1">
      <c r="C401" s="13"/>
      <c r="K401" s="2"/>
      <c r="L401" s="2"/>
    </row>
    <row r="402" spans="3:12" ht="15.75" customHeight="1">
      <c r="C402" s="13"/>
      <c r="K402" s="2"/>
      <c r="L402" s="2"/>
    </row>
    <row r="403" spans="3:12" ht="15.75" customHeight="1">
      <c r="C403" s="13"/>
      <c r="K403" s="2"/>
      <c r="L403" s="2"/>
    </row>
    <row r="404" spans="3:12" ht="15.75" customHeight="1">
      <c r="C404" s="13"/>
      <c r="K404" s="2"/>
      <c r="L404" s="2"/>
    </row>
    <row r="405" spans="3:12" ht="15.75" customHeight="1">
      <c r="C405" s="13"/>
      <c r="K405" s="2"/>
      <c r="L405" s="2"/>
    </row>
    <row r="406" spans="3:12" ht="15.75" customHeight="1">
      <c r="C406" s="13"/>
      <c r="K406" s="2"/>
      <c r="L406" s="2"/>
    </row>
    <row r="407" spans="3:12" ht="15.75" customHeight="1">
      <c r="C407" s="13"/>
      <c r="K407" s="2"/>
      <c r="L407" s="2"/>
    </row>
    <row r="408" spans="3:12" ht="15.75" customHeight="1">
      <c r="C408" s="13"/>
      <c r="K408" s="2"/>
      <c r="L408" s="2"/>
    </row>
    <row r="409" spans="3:12" ht="15.75" customHeight="1">
      <c r="C409" s="13"/>
      <c r="K409" s="2"/>
      <c r="L409" s="2"/>
    </row>
    <row r="410" spans="3:12" ht="15.75" customHeight="1">
      <c r="C410" s="13"/>
      <c r="K410" s="2"/>
      <c r="L410" s="2"/>
    </row>
    <row r="411" spans="3:12" ht="15.75" customHeight="1">
      <c r="C411" s="13"/>
      <c r="K411" s="2"/>
      <c r="L411" s="2"/>
    </row>
    <row r="412" spans="3:12" ht="15.75" customHeight="1">
      <c r="C412" s="13"/>
      <c r="K412" s="2"/>
      <c r="L412" s="2"/>
    </row>
    <row r="413" spans="3:12" ht="15.75" customHeight="1">
      <c r="C413" s="13"/>
      <c r="K413" s="2"/>
      <c r="L413" s="2"/>
    </row>
    <row r="414" spans="3:12" ht="15.75" customHeight="1">
      <c r="C414" s="13"/>
      <c r="K414" s="2"/>
      <c r="L414" s="2"/>
    </row>
    <row r="415" spans="3:12" ht="15.75" customHeight="1">
      <c r="C415" s="13"/>
      <c r="K415" s="2"/>
      <c r="L415" s="2"/>
    </row>
    <row r="416" spans="3:12" ht="15.75" customHeight="1">
      <c r="C416" s="13"/>
      <c r="K416" s="2"/>
      <c r="L416" s="2"/>
    </row>
    <row r="417" spans="3:12" ht="15.75" customHeight="1">
      <c r="C417" s="13"/>
      <c r="K417" s="2"/>
      <c r="L417" s="2"/>
    </row>
    <row r="418" spans="3:12" ht="15.75" customHeight="1">
      <c r="C418" s="13"/>
      <c r="K418" s="2"/>
      <c r="L418" s="2"/>
    </row>
    <row r="419" spans="3:12" ht="15.75" customHeight="1">
      <c r="C419" s="13"/>
      <c r="K419" s="2"/>
      <c r="L419" s="2"/>
    </row>
    <row r="420" spans="3:12" ht="15.75" customHeight="1">
      <c r="C420" s="13"/>
      <c r="K420" s="2"/>
      <c r="L420" s="2"/>
    </row>
    <row r="421" spans="3:12" ht="15.75" customHeight="1">
      <c r="C421" s="13"/>
      <c r="K421" s="2"/>
      <c r="L421" s="2"/>
    </row>
    <row r="422" spans="3:12" ht="15.75" customHeight="1">
      <c r="C422" s="13"/>
      <c r="K422" s="2"/>
      <c r="L422" s="2"/>
    </row>
    <row r="423" spans="3:12" ht="15.75" customHeight="1">
      <c r="C423" s="13"/>
      <c r="K423" s="2"/>
      <c r="L423" s="2"/>
    </row>
    <row r="424" spans="3:12" ht="15.75" customHeight="1">
      <c r="C424" s="13"/>
      <c r="K424" s="2"/>
      <c r="L424" s="2"/>
    </row>
    <row r="425" spans="3:12" ht="15.75" customHeight="1">
      <c r="C425" s="13"/>
      <c r="K425" s="2"/>
      <c r="L425" s="2"/>
    </row>
    <row r="426" spans="3:12" ht="15.75" customHeight="1">
      <c r="C426" s="13"/>
      <c r="K426" s="2"/>
      <c r="L426" s="2"/>
    </row>
    <row r="427" spans="3:12" ht="15.75" customHeight="1">
      <c r="C427" s="13"/>
      <c r="K427" s="2"/>
      <c r="L427" s="2"/>
    </row>
    <row r="428" spans="3:12" ht="15.75" customHeight="1">
      <c r="C428" s="13"/>
      <c r="K428" s="2"/>
      <c r="L428" s="2"/>
    </row>
    <row r="429" spans="3:12" ht="15.75" customHeight="1">
      <c r="C429" s="13"/>
      <c r="K429" s="2"/>
      <c r="L429" s="2"/>
    </row>
    <row r="430" spans="3:12" ht="15.75" customHeight="1">
      <c r="C430" s="13"/>
      <c r="K430" s="2"/>
      <c r="L430" s="2"/>
    </row>
    <row r="431" spans="3:12" ht="15.75" customHeight="1">
      <c r="C431" s="13"/>
      <c r="K431" s="2"/>
      <c r="L431" s="2"/>
    </row>
    <row r="432" spans="3:12" ht="15.75" customHeight="1">
      <c r="C432" s="13"/>
      <c r="K432" s="2"/>
      <c r="L432" s="2"/>
    </row>
    <row r="433" spans="3:12" ht="15.75" customHeight="1">
      <c r="C433" s="13"/>
      <c r="K433" s="2"/>
      <c r="L433" s="2"/>
    </row>
    <row r="434" spans="3:12" ht="15.75" customHeight="1">
      <c r="C434" s="13"/>
      <c r="K434" s="2"/>
      <c r="L434" s="2"/>
    </row>
    <row r="435" spans="3:12" ht="15.75" customHeight="1">
      <c r="C435" s="13"/>
      <c r="K435" s="2"/>
      <c r="L435" s="2"/>
    </row>
    <row r="436" spans="3:12" ht="15.75" customHeight="1">
      <c r="C436" s="13"/>
      <c r="K436" s="2"/>
      <c r="L436" s="2"/>
    </row>
    <row r="437" spans="3:12" ht="15.75" customHeight="1">
      <c r="C437" s="13"/>
      <c r="K437" s="2"/>
      <c r="L437" s="2"/>
    </row>
    <row r="438" spans="3:12" ht="15.75" customHeight="1">
      <c r="C438" s="13"/>
      <c r="K438" s="2"/>
      <c r="L438" s="2"/>
    </row>
    <row r="439" spans="3:12" ht="15.75" customHeight="1">
      <c r="C439" s="13"/>
      <c r="K439" s="2"/>
      <c r="L439" s="2"/>
    </row>
    <row r="440" spans="3:12" ht="15.75" customHeight="1">
      <c r="C440" s="13"/>
      <c r="K440" s="2"/>
      <c r="L440" s="2"/>
    </row>
    <row r="441" spans="3:12" ht="15.75" customHeight="1">
      <c r="C441" s="13"/>
      <c r="K441" s="2"/>
      <c r="L441" s="2"/>
    </row>
    <row r="442" spans="3:12" ht="15.75" customHeight="1">
      <c r="C442" s="13"/>
      <c r="K442" s="2"/>
      <c r="L442" s="2"/>
    </row>
    <row r="443" spans="3:12" ht="15.75" customHeight="1">
      <c r="C443" s="13"/>
      <c r="K443" s="2"/>
      <c r="L443" s="2"/>
    </row>
    <row r="444" spans="3:12" ht="15.75" customHeight="1">
      <c r="C444" s="13"/>
      <c r="K444" s="2"/>
      <c r="L444" s="2"/>
    </row>
    <row r="445" spans="3:12" ht="15.75" customHeight="1">
      <c r="C445" s="13"/>
      <c r="K445" s="2"/>
      <c r="L445" s="2"/>
    </row>
    <row r="446" spans="3:12" ht="15.75" customHeight="1">
      <c r="C446" s="13"/>
      <c r="K446" s="2"/>
      <c r="L446" s="2"/>
    </row>
    <row r="447" spans="3:12" ht="15.75" customHeight="1">
      <c r="C447" s="13"/>
      <c r="K447" s="2"/>
      <c r="L447" s="2"/>
    </row>
    <row r="448" spans="3:12" ht="15.75" customHeight="1">
      <c r="C448" s="13"/>
      <c r="K448" s="2"/>
      <c r="L448" s="2"/>
    </row>
    <row r="449" spans="3:12" ht="15.75" customHeight="1">
      <c r="C449" s="13"/>
      <c r="K449" s="2"/>
      <c r="L449" s="2"/>
    </row>
    <row r="450" spans="3:12" ht="15.75" customHeight="1">
      <c r="C450" s="13"/>
      <c r="K450" s="2"/>
      <c r="L450" s="2"/>
    </row>
    <row r="451" spans="3:12" ht="15.75" customHeight="1">
      <c r="C451" s="13"/>
      <c r="K451" s="2"/>
      <c r="L451" s="2"/>
    </row>
    <row r="452" spans="3:12" ht="15.75" customHeight="1">
      <c r="C452" s="13"/>
      <c r="K452" s="2"/>
      <c r="L452" s="2"/>
    </row>
    <row r="453" spans="3:12" ht="15.75" customHeight="1">
      <c r="C453" s="13"/>
      <c r="K453" s="2"/>
      <c r="L453" s="2"/>
    </row>
    <row r="454" spans="3:12" ht="15.75" customHeight="1">
      <c r="C454" s="13"/>
      <c r="K454" s="2"/>
      <c r="L454" s="2"/>
    </row>
    <row r="455" spans="3:12" ht="15.75" customHeight="1">
      <c r="C455" s="13"/>
      <c r="K455" s="2"/>
      <c r="L455" s="2"/>
    </row>
    <row r="456" spans="3:12" ht="15.75" customHeight="1">
      <c r="C456" s="13"/>
      <c r="K456" s="2"/>
      <c r="L456" s="2"/>
    </row>
    <row r="457" spans="3:12" ht="15.75" customHeight="1">
      <c r="C457" s="13"/>
      <c r="K457" s="2"/>
      <c r="L457" s="2"/>
    </row>
    <row r="458" spans="3:12" ht="15.75" customHeight="1">
      <c r="C458" s="13"/>
      <c r="K458" s="2"/>
      <c r="L458" s="2"/>
    </row>
    <row r="459" spans="3:12" ht="15.75" customHeight="1">
      <c r="C459" s="13"/>
      <c r="K459" s="2"/>
      <c r="L459" s="2"/>
    </row>
    <row r="460" spans="3:12" ht="15.75" customHeight="1">
      <c r="C460" s="13"/>
      <c r="K460" s="2"/>
      <c r="L460" s="2"/>
    </row>
    <row r="461" spans="3:12" ht="15.75" customHeight="1">
      <c r="C461" s="13"/>
      <c r="K461" s="2"/>
      <c r="L461" s="2"/>
    </row>
    <row r="462" spans="3:12" ht="15.75" customHeight="1">
      <c r="C462" s="13"/>
      <c r="K462" s="2"/>
      <c r="L462" s="2"/>
    </row>
    <row r="463" spans="3:12" ht="15.75" customHeight="1">
      <c r="C463" s="13"/>
      <c r="K463" s="2"/>
      <c r="L463" s="2"/>
    </row>
    <row r="464" spans="3:12" ht="15.75" customHeight="1">
      <c r="C464" s="13"/>
      <c r="K464" s="2"/>
      <c r="L464" s="2"/>
    </row>
    <row r="465" spans="3:12" ht="15.75" customHeight="1">
      <c r="C465" s="13"/>
      <c r="K465" s="2"/>
      <c r="L465" s="2"/>
    </row>
    <row r="466" spans="3:12" ht="15.75" customHeight="1">
      <c r="C466" s="13"/>
      <c r="K466" s="2"/>
      <c r="L466" s="2"/>
    </row>
    <row r="467" spans="3:12" ht="15.75" customHeight="1">
      <c r="C467" s="13"/>
      <c r="K467" s="2"/>
      <c r="L467" s="2"/>
    </row>
    <row r="468" spans="3:12" ht="15.75" customHeight="1">
      <c r="C468" s="13"/>
      <c r="K468" s="2"/>
      <c r="L468" s="2"/>
    </row>
    <row r="469" spans="3:12" ht="15.75" customHeight="1">
      <c r="C469" s="13"/>
      <c r="K469" s="2"/>
      <c r="L469" s="2"/>
    </row>
    <row r="470" spans="3:12" ht="15.75" customHeight="1">
      <c r="C470" s="13"/>
      <c r="K470" s="2"/>
      <c r="L470" s="2"/>
    </row>
    <row r="471" spans="3:12" ht="15.75" customHeight="1">
      <c r="C471" s="13"/>
      <c r="K471" s="2"/>
      <c r="L471" s="2"/>
    </row>
    <row r="472" spans="3:12" ht="15.75" customHeight="1">
      <c r="C472" s="13"/>
      <c r="K472" s="2"/>
      <c r="L472" s="2"/>
    </row>
    <row r="473" spans="3:12" ht="15.75" customHeight="1">
      <c r="C473" s="13"/>
      <c r="K473" s="2"/>
      <c r="L473" s="2"/>
    </row>
    <row r="474" spans="3:12" ht="15.75" customHeight="1">
      <c r="C474" s="13"/>
      <c r="K474" s="2"/>
      <c r="L474" s="2"/>
    </row>
    <row r="475" spans="3:12" ht="15.75" customHeight="1">
      <c r="C475" s="13"/>
      <c r="K475" s="2"/>
      <c r="L475" s="2"/>
    </row>
    <row r="476" spans="3:12" ht="15.75" customHeight="1">
      <c r="C476" s="13"/>
      <c r="K476" s="2"/>
      <c r="L476" s="2"/>
    </row>
    <row r="477" spans="3:12" ht="15.75" customHeight="1">
      <c r="C477" s="13"/>
      <c r="K477" s="2"/>
      <c r="L477" s="2"/>
    </row>
    <row r="478" spans="3:12" ht="15.75" customHeight="1">
      <c r="C478" s="13"/>
      <c r="K478" s="2"/>
      <c r="L478" s="2"/>
    </row>
    <row r="479" spans="3:12" ht="15.75" customHeight="1">
      <c r="C479" s="13"/>
      <c r="K479" s="2"/>
      <c r="L479" s="2"/>
    </row>
    <row r="480" spans="3:12" ht="15.75" customHeight="1">
      <c r="C480" s="13"/>
      <c r="K480" s="2"/>
      <c r="L480" s="2"/>
    </row>
    <row r="481" spans="3:12" ht="15.75" customHeight="1">
      <c r="C481" s="13"/>
      <c r="K481" s="2"/>
      <c r="L481" s="2"/>
    </row>
    <row r="482" spans="3:12" ht="15.75" customHeight="1">
      <c r="C482" s="13"/>
      <c r="K482" s="2"/>
      <c r="L482" s="2"/>
    </row>
    <row r="483" spans="3:12" ht="15.75" customHeight="1">
      <c r="C483" s="13"/>
      <c r="K483" s="2"/>
      <c r="L483" s="2"/>
    </row>
    <row r="484" spans="3:12" ht="15.75" customHeight="1">
      <c r="C484" s="13"/>
      <c r="K484" s="2"/>
      <c r="L484" s="2"/>
    </row>
    <row r="485" spans="3:12" ht="15.75" customHeight="1">
      <c r="C485" s="13"/>
      <c r="K485" s="2"/>
      <c r="L485" s="2"/>
    </row>
    <row r="486" spans="3:12" ht="15.75" customHeight="1">
      <c r="C486" s="13"/>
      <c r="K486" s="2"/>
      <c r="L486" s="2"/>
    </row>
    <row r="487" spans="3:12" ht="15.75" customHeight="1">
      <c r="C487" s="13"/>
      <c r="K487" s="2"/>
      <c r="L487" s="2"/>
    </row>
    <row r="488" spans="3:12" ht="15.75" customHeight="1">
      <c r="C488" s="13"/>
      <c r="K488" s="2"/>
      <c r="L488" s="2"/>
    </row>
    <row r="489" spans="3:12" ht="15.75" customHeight="1">
      <c r="C489" s="13"/>
      <c r="K489" s="2"/>
      <c r="L489" s="2"/>
    </row>
    <row r="490" spans="3:12" ht="15.75" customHeight="1">
      <c r="C490" s="13"/>
      <c r="K490" s="2"/>
      <c r="L490" s="2"/>
    </row>
    <row r="491" spans="3:12" ht="15.75" customHeight="1">
      <c r="C491" s="13"/>
      <c r="K491" s="2"/>
      <c r="L491" s="2"/>
    </row>
    <row r="492" spans="3:12" ht="15.75" customHeight="1">
      <c r="C492" s="13"/>
      <c r="K492" s="2"/>
      <c r="L492" s="2"/>
    </row>
    <row r="493" spans="3:12" ht="15.75" customHeight="1">
      <c r="C493" s="13"/>
      <c r="K493" s="2"/>
      <c r="L493" s="2"/>
    </row>
    <row r="494" spans="3:12" ht="15.75" customHeight="1">
      <c r="C494" s="13"/>
      <c r="K494" s="2"/>
      <c r="L494" s="2"/>
    </row>
    <row r="495" spans="3:12" ht="15.75" customHeight="1">
      <c r="C495" s="13"/>
      <c r="K495" s="2"/>
      <c r="L495" s="2"/>
    </row>
    <row r="496" spans="3:12" ht="15.75" customHeight="1">
      <c r="C496" s="13"/>
      <c r="K496" s="2"/>
      <c r="L496" s="2"/>
    </row>
    <row r="497" spans="3:12" ht="15.75" customHeight="1">
      <c r="C497" s="13"/>
      <c r="K497" s="2"/>
      <c r="L497" s="2"/>
    </row>
    <row r="498" spans="3:12" ht="15.75" customHeight="1">
      <c r="C498" s="13"/>
      <c r="K498" s="2"/>
      <c r="L498" s="2"/>
    </row>
    <row r="499" spans="3:12" ht="15.75" customHeight="1">
      <c r="C499" s="13"/>
      <c r="K499" s="2"/>
      <c r="L499" s="2"/>
    </row>
    <row r="500" spans="3:12" ht="15.75" customHeight="1">
      <c r="C500" s="13"/>
      <c r="K500" s="2"/>
      <c r="L500" s="2"/>
    </row>
    <row r="501" spans="3:12" ht="15.75" customHeight="1">
      <c r="C501" s="13"/>
      <c r="K501" s="2"/>
      <c r="L501" s="2"/>
    </row>
    <row r="502" spans="3:12" ht="15.75" customHeight="1">
      <c r="C502" s="13"/>
      <c r="K502" s="2"/>
      <c r="L502" s="2"/>
    </row>
    <row r="503" spans="3:12" ht="15.75" customHeight="1">
      <c r="C503" s="13"/>
      <c r="K503" s="2"/>
      <c r="L503" s="2"/>
    </row>
    <row r="504" spans="3:12" ht="15.75" customHeight="1">
      <c r="C504" s="13"/>
      <c r="K504" s="2"/>
      <c r="L504" s="2"/>
    </row>
    <row r="505" spans="3:12" ht="15.75" customHeight="1">
      <c r="C505" s="13"/>
      <c r="K505" s="2"/>
      <c r="L505" s="2"/>
    </row>
    <row r="506" spans="3:12" ht="15.75" customHeight="1">
      <c r="C506" s="13"/>
      <c r="K506" s="2"/>
      <c r="L506" s="2"/>
    </row>
    <row r="507" spans="3:12" ht="15.75" customHeight="1">
      <c r="C507" s="13"/>
      <c r="K507" s="2"/>
      <c r="L507" s="2"/>
    </row>
    <row r="508" spans="3:12" ht="15.75" customHeight="1">
      <c r="C508" s="13"/>
      <c r="K508" s="2"/>
      <c r="L508" s="2"/>
    </row>
    <row r="509" spans="3:12" ht="15.75" customHeight="1">
      <c r="C509" s="13"/>
      <c r="K509" s="2"/>
      <c r="L509" s="2"/>
    </row>
    <row r="510" spans="3:12" ht="15.75" customHeight="1">
      <c r="C510" s="13"/>
      <c r="K510" s="2"/>
      <c r="L510" s="2"/>
    </row>
    <row r="511" spans="3:12" ht="15.75" customHeight="1">
      <c r="C511" s="13"/>
      <c r="K511" s="2"/>
      <c r="L511" s="2"/>
    </row>
    <row r="512" spans="3:12" ht="15.75" customHeight="1">
      <c r="C512" s="13"/>
      <c r="K512" s="2"/>
      <c r="L512" s="2"/>
    </row>
    <row r="513" spans="3:12" ht="15.75" customHeight="1">
      <c r="C513" s="13"/>
      <c r="K513" s="2"/>
      <c r="L513" s="2"/>
    </row>
    <row r="514" spans="3:12" ht="15.75" customHeight="1">
      <c r="C514" s="13"/>
      <c r="K514" s="2"/>
      <c r="L514" s="2"/>
    </row>
    <row r="515" spans="3:12" ht="15.75" customHeight="1">
      <c r="C515" s="13"/>
      <c r="K515" s="2"/>
      <c r="L515" s="2"/>
    </row>
    <row r="516" spans="3:12" ht="15.75" customHeight="1">
      <c r="C516" s="13"/>
      <c r="K516" s="2"/>
      <c r="L516" s="2"/>
    </row>
    <row r="517" spans="3:12" ht="15.75" customHeight="1">
      <c r="C517" s="13"/>
      <c r="K517" s="2"/>
      <c r="L517" s="2"/>
    </row>
    <row r="518" spans="3:12" ht="15.75" customHeight="1">
      <c r="C518" s="13"/>
      <c r="K518" s="2"/>
      <c r="L518" s="2"/>
    </row>
    <row r="519" spans="3:12" ht="15.75" customHeight="1">
      <c r="C519" s="13"/>
      <c r="K519" s="2"/>
      <c r="L519" s="2"/>
    </row>
    <row r="520" spans="3:12" ht="15.75" customHeight="1">
      <c r="C520" s="13"/>
      <c r="K520" s="2"/>
      <c r="L520" s="2"/>
    </row>
    <row r="521" spans="3:12" ht="15.75" customHeight="1">
      <c r="C521" s="13"/>
      <c r="K521" s="2"/>
      <c r="L521" s="2"/>
    </row>
    <row r="522" spans="3:12" ht="15.75" customHeight="1">
      <c r="C522" s="13"/>
      <c r="K522" s="2"/>
      <c r="L522" s="2"/>
    </row>
    <row r="523" spans="3:12" ht="15.75" customHeight="1">
      <c r="C523" s="13"/>
      <c r="K523" s="2"/>
      <c r="L523" s="2"/>
    </row>
    <row r="524" spans="3:12" ht="15.75" customHeight="1">
      <c r="C524" s="13"/>
      <c r="K524" s="2"/>
      <c r="L524" s="2"/>
    </row>
    <row r="525" spans="3:12" ht="15.75" customHeight="1">
      <c r="C525" s="13"/>
      <c r="K525" s="2"/>
      <c r="L525" s="2"/>
    </row>
    <row r="526" spans="3:12" ht="15.75" customHeight="1">
      <c r="C526" s="13"/>
      <c r="K526" s="2"/>
      <c r="L526" s="2"/>
    </row>
    <row r="527" spans="3:12" ht="15.75" customHeight="1">
      <c r="C527" s="13"/>
      <c r="K527" s="2"/>
      <c r="L527" s="2"/>
    </row>
    <row r="528" spans="3:12" ht="15.75" customHeight="1">
      <c r="C528" s="13"/>
      <c r="K528" s="2"/>
      <c r="L528" s="2"/>
    </row>
    <row r="529" spans="3:12" ht="15.75" customHeight="1">
      <c r="C529" s="13"/>
      <c r="K529" s="2"/>
      <c r="L529" s="2"/>
    </row>
    <row r="530" spans="3:12" ht="15.75" customHeight="1">
      <c r="C530" s="13"/>
      <c r="K530" s="2"/>
      <c r="L530" s="2"/>
    </row>
    <row r="531" spans="3:12" ht="15.75" customHeight="1">
      <c r="C531" s="13"/>
      <c r="K531" s="2"/>
      <c r="L531" s="2"/>
    </row>
    <row r="532" spans="3:12" ht="15.75" customHeight="1">
      <c r="C532" s="13"/>
      <c r="K532" s="2"/>
      <c r="L532" s="2"/>
    </row>
    <row r="533" spans="3:12" ht="15.75" customHeight="1">
      <c r="C533" s="13"/>
      <c r="K533" s="2"/>
      <c r="L533" s="2"/>
    </row>
    <row r="534" spans="3:12" ht="15.75" customHeight="1">
      <c r="C534" s="13"/>
      <c r="K534" s="2"/>
      <c r="L534" s="2"/>
    </row>
    <row r="535" spans="3:12" ht="15.75" customHeight="1">
      <c r="C535" s="13"/>
      <c r="K535" s="2"/>
      <c r="L535" s="2"/>
    </row>
    <row r="536" spans="3:12" ht="15.75" customHeight="1">
      <c r="C536" s="13"/>
      <c r="K536" s="2"/>
      <c r="L536" s="2"/>
    </row>
    <row r="537" spans="3:12" ht="15.75" customHeight="1">
      <c r="C537" s="13"/>
      <c r="K537" s="2"/>
      <c r="L537" s="2"/>
    </row>
    <row r="538" spans="3:12" ht="15.75" customHeight="1">
      <c r="C538" s="13"/>
      <c r="K538" s="2"/>
      <c r="L538" s="2"/>
    </row>
    <row r="539" spans="3:12" ht="15.75" customHeight="1">
      <c r="C539" s="13"/>
      <c r="K539" s="2"/>
      <c r="L539" s="2"/>
    </row>
    <row r="540" spans="3:12" ht="15.75" customHeight="1">
      <c r="C540" s="13"/>
      <c r="K540" s="2"/>
      <c r="L540" s="2"/>
    </row>
    <row r="541" spans="3:12" ht="15.75" customHeight="1">
      <c r="C541" s="13"/>
      <c r="K541" s="2"/>
      <c r="L541" s="2"/>
    </row>
    <row r="542" spans="3:12" ht="15.75" customHeight="1">
      <c r="C542" s="13"/>
      <c r="K542" s="2"/>
      <c r="L542" s="2"/>
    </row>
    <row r="543" spans="3:12" ht="15.75" customHeight="1">
      <c r="C543" s="13"/>
      <c r="K543" s="2"/>
      <c r="L543" s="2"/>
    </row>
    <row r="544" spans="3:12" ht="15.75" customHeight="1">
      <c r="C544" s="13"/>
      <c r="K544" s="2"/>
      <c r="L544" s="2"/>
    </row>
    <row r="545" spans="3:12" ht="15.75" customHeight="1">
      <c r="C545" s="13"/>
      <c r="K545" s="2"/>
      <c r="L545" s="2"/>
    </row>
    <row r="546" spans="3:12" ht="15.75" customHeight="1">
      <c r="C546" s="13"/>
      <c r="K546" s="2"/>
      <c r="L546" s="2"/>
    </row>
    <row r="547" spans="3:12" ht="15.75" customHeight="1">
      <c r="C547" s="13"/>
      <c r="K547" s="2"/>
      <c r="L547" s="2"/>
    </row>
    <row r="548" spans="3:12" ht="15.75" customHeight="1">
      <c r="C548" s="13"/>
      <c r="K548" s="2"/>
      <c r="L548" s="2"/>
    </row>
    <row r="549" spans="3:12" ht="15.75" customHeight="1">
      <c r="C549" s="13"/>
      <c r="K549" s="2"/>
      <c r="L549" s="2"/>
    </row>
    <row r="550" spans="3:12" ht="15.75" customHeight="1">
      <c r="C550" s="13"/>
      <c r="K550" s="2"/>
      <c r="L550" s="2"/>
    </row>
    <row r="551" spans="3:12" ht="15.75" customHeight="1">
      <c r="C551" s="13"/>
      <c r="K551" s="2"/>
      <c r="L551" s="2"/>
    </row>
    <row r="552" spans="3:12" ht="15.75" customHeight="1">
      <c r="C552" s="13"/>
      <c r="K552" s="2"/>
      <c r="L552" s="2"/>
    </row>
    <row r="553" spans="3:12" ht="15.75" customHeight="1">
      <c r="C553" s="13"/>
      <c r="K553" s="2"/>
      <c r="L553" s="2"/>
    </row>
    <row r="554" spans="3:12" ht="15.75" customHeight="1">
      <c r="C554" s="13"/>
      <c r="K554" s="2"/>
      <c r="L554" s="2"/>
    </row>
    <row r="555" spans="3:12" ht="15.75" customHeight="1">
      <c r="C555" s="13"/>
      <c r="K555" s="2"/>
      <c r="L555" s="2"/>
    </row>
    <row r="556" spans="3:12" ht="15.75" customHeight="1">
      <c r="C556" s="13"/>
      <c r="K556" s="2"/>
      <c r="L556" s="2"/>
    </row>
    <row r="557" spans="3:12" ht="15.75" customHeight="1">
      <c r="C557" s="13"/>
      <c r="K557" s="2"/>
      <c r="L557" s="2"/>
    </row>
    <row r="558" spans="3:12" ht="15.75" customHeight="1">
      <c r="C558" s="13"/>
      <c r="K558" s="2"/>
      <c r="L558" s="2"/>
    </row>
    <row r="559" spans="3:12" ht="15.75" customHeight="1">
      <c r="C559" s="13"/>
      <c r="K559" s="2"/>
      <c r="L559" s="2"/>
    </row>
    <row r="560" spans="3:12" ht="15.75" customHeight="1">
      <c r="C560" s="13"/>
      <c r="K560" s="2"/>
      <c r="L560" s="2"/>
    </row>
    <row r="561" spans="3:12" ht="15.75" customHeight="1">
      <c r="C561" s="13"/>
      <c r="K561" s="2"/>
      <c r="L561" s="2"/>
    </row>
    <row r="562" spans="3:12" ht="15.75" customHeight="1">
      <c r="C562" s="13"/>
      <c r="K562" s="2"/>
      <c r="L562" s="2"/>
    </row>
    <row r="563" spans="3:12" ht="15.75" customHeight="1">
      <c r="C563" s="13"/>
      <c r="K563" s="2"/>
      <c r="L563" s="2"/>
    </row>
    <row r="564" spans="3:12" ht="15.75" customHeight="1">
      <c r="C564" s="13"/>
      <c r="K564" s="2"/>
      <c r="L564" s="2"/>
    </row>
    <row r="565" spans="3:12" ht="15.75" customHeight="1">
      <c r="C565" s="13"/>
      <c r="K565" s="2"/>
      <c r="L565" s="2"/>
    </row>
    <row r="566" spans="3:12" ht="15.75" customHeight="1">
      <c r="C566" s="13"/>
      <c r="K566" s="2"/>
      <c r="L566" s="2"/>
    </row>
    <row r="567" spans="3:12" ht="15.75" customHeight="1">
      <c r="C567" s="13"/>
      <c r="K567" s="2"/>
      <c r="L567" s="2"/>
    </row>
    <row r="568" spans="3:12" ht="15.75" customHeight="1">
      <c r="C568" s="13"/>
      <c r="K568" s="2"/>
      <c r="L568" s="2"/>
    </row>
    <row r="569" spans="3:12" ht="15.75" customHeight="1">
      <c r="C569" s="13"/>
      <c r="K569" s="2"/>
      <c r="L569" s="2"/>
    </row>
    <row r="570" spans="3:12" ht="15.75" customHeight="1">
      <c r="C570" s="13"/>
      <c r="K570" s="2"/>
      <c r="L570" s="2"/>
    </row>
    <row r="571" spans="3:12" ht="15.75" customHeight="1">
      <c r="C571" s="13"/>
      <c r="K571" s="2"/>
      <c r="L571" s="2"/>
    </row>
    <row r="572" spans="3:12" ht="15.75" customHeight="1">
      <c r="C572" s="13"/>
      <c r="K572" s="2"/>
      <c r="L572" s="2"/>
    </row>
    <row r="573" spans="3:12" ht="15.75" customHeight="1">
      <c r="C573" s="13"/>
      <c r="K573" s="2"/>
      <c r="L573" s="2"/>
    </row>
    <row r="574" spans="3:12" ht="15.75" customHeight="1">
      <c r="C574" s="13"/>
      <c r="K574" s="2"/>
      <c r="L574" s="2"/>
    </row>
    <row r="575" spans="3:12" ht="15.75" customHeight="1">
      <c r="C575" s="13"/>
      <c r="K575" s="2"/>
      <c r="L575" s="2"/>
    </row>
    <row r="576" spans="3:12" ht="15.75" customHeight="1">
      <c r="C576" s="13"/>
      <c r="K576" s="2"/>
      <c r="L576" s="2"/>
    </row>
    <row r="577" spans="3:12" ht="15.75" customHeight="1">
      <c r="C577" s="13"/>
      <c r="K577" s="2"/>
      <c r="L577" s="2"/>
    </row>
    <row r="578" spans="3:12" ht="15.75" customHeight="1">
      <c r="C578" s="13"/>
      <c r="K578" s="2"/>
      <c r="L578" s="2"/>
    </row>
    <row r="579" spans="3:12" ht="15.75" customHeight="1">
      <c r="C579" s="13"/>
      <c r="K579" s="2"/>
      <c r="L579" s="2"/>
    </row>
    <row r="580" spans="3:12" ht="15.75" customHeight="1">
      <c r="C580" s="13"/>
      <c r="K580" s="2"/>
      <c r="L580" s="2"/>
    </row>
    <row r="581" spans="3:12" ht="15.75" customHeight="1">
      <c r="C581" s="13"/>
      <c r="K581" s="2"/>
      <c r="L581" s="2"/>
    </row>
    <row r="582" spans="3:12" ht="15.75" customHeight="1">
      <c r="C582" s="13"/>
      <c r="K582" s="2"/>
      <c r="L582" s="2"/>
    </row>
    <row r="583" spans="3:12" ht="15.75" customHeight="1">
      <c r="C583" s="13"/>
      <c r="K583" s="2"/>
      <c r="L583" s="2"/>
    </row>
    <row r="584" spans="3:12" ht="15.75" customHeight="1">
      <c r="C584" s="13"/>
      <c r="K584" s="2"/>
      <c r="L584" s="2"/>
    </row>
    <row r="585" spans="3:12" ht="15.75" customHeight="1">
      <c r="C585" s="13"/>
      <c r="K585" s="2"/>
      <c r="L585" s="2"/>
    </row>
    <row r="586" spans="3:12" ht="15.75" customHeight="1">
      <c r="C586" s="13"/>
      <c r="K586" s="2"/>
      <c r="L586" s="2"/>
    </row>
    <row r="587" spans="3:12" ht="15.75" customHeight="1">
      <c r="C587" s="13"/>
      <c r="K587" s="2"/>
      <c r="L587" s="2"/>
    </row>
    <row r="588" spans="3:12" ht="15.75" customHeight="1">
      <c r="C588" s="13"/>
      <c r="K588" s="2"/>
      <c r="L588" s="2"/>
    </row>
    <row r="589" spans="3:12" ht="15.75" customHeight="1">
      <c r="C589" s="13"/>
      <c r="K589" s="2"/>
      <c r="L589" s="2"/>
    </row>
    <row r="590" spans="3:12" ht="15.75" customHeight="1">
      <c r="C590" s="13"/>
      <c r="K590" s="2"/>
      <c r="L590" s="2"/>
    </row>
    <row r="591" spans="3:12" ht="15.75" customHeight="1">
      <c r="C591" s="13"/>
      <c r="K591" s="2"/>
      <c r="L591" s="2"/>
    </row>
    <row r="592" spans="3:12" ht="15.75" customHeight="1">
      <c r="C592" s="13"/>
      <c r="K592" s="2"/>
      <c r="L592" s="2"/>
    </row>
    <row r="593" spans="3:12" ht="15.75" customHeight="1">
      <c r="C593" s="13"/>
      <c r="K593" s="2"/>
      <c r="L593" s="2"/>
    </row>
    <row r="594" spans="3:12" ht="15.75" customHeight="1">
      <c r="C594" s="13"/>
      <c r="K594" s="2"/>
      <c r="L594" s="2"/>
    </row>
    <row r="595" spans="3:12" ht="15.75" customHeight="1">
      <c r="C595" s="13"/>
      <c r="K595" s="2"/>
      <c r="L595" s="2"/>
    </row>
    <row r="596" spans="3:12" ht="15.75" customHeight="1">
      <c r="C596" s="13"/>
      <c r="K596" s="2"/>
      <c r="L596" s="2"/>
    </row>
    <row r="597" spans="3:12" ht="15.75" customHeight="1">
      <c r="C597" s="13"/>
      <c r="K597" s="2"/>
      <c r="L597" s="2"/>
    </row>
    <row r="598" spans="3:12" ht="15.75" customHeight="1">
      <c r="C598" s="13"/>
      <c r="K598" s="2"/>
      <c r="L598" s="2"/>
    </row>
    <row r="599" spans="3:12" ht="15.75" customHeight="1">
      <c r="C599" s="13"/>
      <c r="K599" s="2"/>
      <c r="L599" s="2"/>
    </row>
    <row r="600" spans="3:12" ht="15.75" customHeight="1">
      <c r="C600" s="13"/>
      <c r="K600" s="2"/>
      <c r="L600" s="2"/>
    </row>
    <row r="601" spans="3:12" ht="15.75" customHeight="1">
      <c r="C601" s="13"/>
      <c r="K601" s="2"/>
      <c r="L601" s="2"/>
    </row>
    <row r="602" spans="3:12" ht="15.75" customHeight="1">
      <c r="C602" s="13"/>
      <c r="K602" s="2"/>
      <c r="L602" s="2"/>
    </row>
    <row r="603" spans="3:12" ht="15.75" customHeight="1">
      <c r="C603" s="13"/>
      <c r="K603" s="2"/>
      <c r="L603" s="2"/>
    </row>
    <row r="604" spans="3:12" ht="15.75" customHeight="1">
      <c r="C604" s="13"/>
      <c r="K604" s="2"/>
      <c r="L604" s="2"/>
    </row>
    <row r="605" spans="3:12" ht="15.75" customHeight="1">
      <c r="C605" s="13"/>
      <c r="K605" s="2"/>
      <c r="L605" s="2"/>
    </row>
    <row r="606" spans="3:12" ht="15.75" customHeight="1">
      <c r="C606" s="13"/>
      <c r="K606" s="2"/>
      <c r="L606" s="2"/>
    </row>
    <row r="607" spans="3:12" ht="15.75" customHeight="1">
      <c r="C607" s="13"/>
      <c r="K607" s="2"/>
      <c r="L607" s="2"/>
    </row>
    <row r="608" spans="3:12" ht="15.75" customHeight="1">
      <c r="C608" s="13"/>
      <c r="K608" s="2"/>
      <c r="L608" s="2"/>
    </row>
    <row r="609" spans="3:12" ht="15.75" customHeight="1">
      <c r="C609" s="13"/>
      <c r="K609" s="2"/>
      <c r="L609" s="2"/>
    </row>
    <row r="610" spans="3:12" ht="15.75" customHeight="1">
      <c r="C610" s="13"/>
      <c r="K610" s="2"/>
      <c r="L610" s="2"/>
    </row>
    <row r="611" spans="3:12" ht="15.75" customHeight="1">
      <c r="C611" s="13"/>
      <c r="K611" s="2"/>
      <c r="L611" s="2"/>
    </row>
    <row r="612" spans="3:12" ht="15.75" customHeight="1">
      <c r="C612" s="13"/>
      <c r="K612" s="2"/>
      <c r="L612" s="2"/>
    </row>
    <row r="613" spans="3:12" ht="15.75" customHeight="1">
      <c r="C613" s="13"/>
      <c r="K613" s="2"/>
      <c r="L613" s="2"/>
    </row>
    <row r="614" spans="3:12" ht="15.75" customHeight="1">
      <c r="C614" s="13"/>
      <c r="K614" s="2"/>
      <c r="L614" s="2"/>
    </row>
    <row r="615" spans="3:12" ht="15.75" customHeight="1">
      <c r="C615" s="13"/>
      <c r="K615" s="2"/>
      <c r="L615" s="2"/>
    </row>
    <row r="616" spans="3:12" ht="15.75" customHeight="1">
      <c r="C616" s="13"/>
      <c r="K616" s="2"/>
      <c r="L616" s="2"/>
    </row>
    <row r="617" spans="3:12" ht="15.75" customHeight="1">
      <c r="C617" s="13"/>
      <c r="K617" s="2"/>
      <c r="L617" s="2"/>
    </row>
    <row r="618" spans="3:12" ht="15.75" customHeight="1">
      <c r="C618" s="13"/>
      <c r="K618" s="2"/>
      <c r="L618" s="2"/>
    </row>
    <row r="619" spans="3:12" ht="15.75" customHeight="1">
      <c r="C619" s="13"/>
      <c r="K619" s="2"/>
      <c r="L619" s="2"/>
    </row>
    <row r="620" spans="3:12" ht="15.75" customHeight="1">
      <c r="C620" s="13"/>
      <c r="K620" s="2"/>
      <c r="L620" s="2"/>
    </row>
    <row r="621" spans="3:12" ht="15.75" customHeight="1">
      <c r="C621" s="13"/>
      <c r="K621" s="2"/>
      <c r="L621" s="2"/>
    </row>
    <row r="622" spans="3:12" ht="15.75" customHeight="1">
      <c r="C622" s="13"/>
      <c r="K622" s="2"/>
      <c r="L622" s="2"/>
    </row>
    <row r="623" spans="3:12" ht="15.75" customHeight="1">
      <c r="C623" s="13"/>
      <c r="K623" s="2"/>
      <c r="L623" s="2"/>
    </row>
    <row r="624" spans="3:12" ht="15.75" customHeight="1">
      <c r="C624" s="13"/>
      <c r="K624" s="2"/>
      <c r="L624" s="2"/>
    </row>
    <row r="625" spans="3:12" ht="15.75" customHeight="1">
      <c r="C625" s="13"/>
      <c r="K625" s="2"/>
      <c r="L625" s="2"/>
    </row>
    <row r="626" spans="3:12" ht="15.75" customHeight="1">
      <c r="C626" s="13"/>
      <c r="K626" s="2"/>
      <c r="L626" s="2"/>
    </row>
    <row r="627" spans="3:12" ht="15.75" customHeight="1">
      <c r="C627" s="13"/>
      <c r="K627" s="2"/>
      <c r="L627" s="2"/>
    </row>
    <row r="628" spans="3:12" ht="15.75" customHeight="1">
      <c r="C628" s="13"/>
      <c r="K628" s="2"/>
      <c r="L628" s="2"/>
    </row>
    <row r="629" spans="3:12" ht="15.75" customHeight="1">
      <c r="C629" s="13"/>
      <c r="K629" s="2"/>
      <c r="L629" s="2"/>
    </row>
    <row r="630" spans="3:12" ht="15.75" customHeight="1">
      <c r="C630" s="13"/>
      <c r="K630" s="2"/>
      <c r="L630" s="2"/>
    </row>
    <row r="631" spans="3:12" ht="15.75" customHeight="1">
      <c r="C631" s="13"/>
      <c r="K631" s="2"/>
      <c r="L631" s="2"/>
    </row>
    <row r="632" spans="3:12" ht="15.75" customHeight="1">
      <c r="C632" s="13"/>
      <c r="K632" s="2"/>
      <c r="L632" s="2"/>
    </row>
    <row r="633" spans="3:12" ht="15.75" customHeight="1">
      <c r="C633" s="13"/>
      <c r="K633" s="2"/>
      <c r="L633" s="2"/>
    </row>
    <row r="634" spans="3:12" ht="15.75" customHeight="1">
      <c r="C634" s="13"/>
      <c r="K634" s="2"/>
      <c r="L634" s="2"/>
    </row>
    <row r="635" spans="3:12" ht="15.75" customHeight="1">
      <c r="C635" s="13"/>
      <c r="K635" s="2"/>
      <c r="L635" s="2"/>
    </row>
    <row r="636" spans="3:12" ht="15.75" customHeight="1">
      <c r="C636" s="13"/>
      <c r="K636" s="2"/>
      <c r="L636" s="2"/>
    </row>
    <row r="637" spans="3:12" ht="15.75" customHeight="1">
      <c r="C637" s="13"/>
      <c r="K637" s="2"/>
      <c r="L637" s="2"/>
    </row>
    <row r="638" spans="3:12" ht="15.75" customHeight="1">
      <c r="C638" s="13"/>
      <c r="K638" s="2"/>
      <c r="L638" s="2"/>
    </row>
    <row r="639" spans="3:12" ht="15.75" customHeight="1">
      <c r="C639" s="13"/>
      <c r="K639" s="2"/>
      <c r="L639" s="2"/>
    </row>
    <row r="640" spans="3:12" ht="15.75" customHeight="1">
      <c r="C640" s="13"/>
      <c r="K640" s="2"/>
      <c r="L640" s="2"/>
    </row>
    <row r="641" spans="3:12" ht="15.75" customHeight="1">
      <c r="C641" s="13"/>
      <c r="K641" s="2"/>
      <c r="L641" s="2"/>
    </row>
    <row r="642" spans="3:12" ht="15.75" customHeight="1">
      <c r="C642" s="13"/>
      <c r="K642" s="2"/>
      <c r="L642" s="2"/>
    </row>
    <row r="643" spans="3:12" ht="15.75" customHeight="1">
      <c r="C643" s="13"/>
      <c r="K643" s="2"/>
      <c r="L643" s="2"/>
    </row>
    <row r="644" spans="3:12" ht="15.75" customHeight="1">
      <c r="C644" s="13"/>
      <c r="K644" s="2"/>
      <c r="L644" s="2"/>
    </row>
    <row r="645" spans="3:12" ht="15.75" customHeight="1">
      <c r="C645" s="13"/>
      <c r="K645" s="2"/>
      <c r="L645" s="2"/>
    </row>
    <row r="646" spans="3:12" ht="15.75" customHeight="1">
      <c r="C646" s="13"/>
      <c r="K646" s="2"/>
      <c r="L646" s="2"/>
    </row>
    <row r="647" spans="3:12" ht="15.75" customHeight="1">
      <c r="C647" s="13"/>
      <c r="K647" s="2"/>
      <c r="L647" s="2"/>
    </row>
    <row r="648" spans="3:12" ht="15.75" customHeight="1">
      <c r="C648" s="13"/>
      <c r="K648" s="2"/>
      <c r="L648" s="2"/>
    </row>
    <row r="649" spans="3:12" ht="15.75" customHeight="1">
      <c r="C649" s="13"/>
      <c r="K649" s="2"/>
      <c r="L649" s="2"/>
    </row>
    <row r="650" spans="3:12" ht="15.75" customHeight="1">
      <c r="C650" s="13"/>
      <c r="K650" s="2"/>
      <c r="L650" s="2"/>
    </row>
    <row r="651" spans="3:12" ht="15.75" customHeight="1">
      <c r="C651" s="13"/>
      <c r="K651" s="2"/>
      <c r="L651" s="2"/>
    </row>
    <row r="652" spans="3:12" ht="15.75" customHeight="1">
      <c r="C652" s="13"/>
      <c r="K652" s="2"/>
      <c r="L652" s="2"/>
    </row>
    <row r="653" spans="3:12" ht="15.75" customHeight="1">
      <c r="C653" s="13"/>
      <c r="K653" s="2"/>
      <c r="L653" s="2"/>
    </row>
    <row r="654" spans="3:12" ht="15.75" customHeight="1">
      <c r="C654" s="13"/>
      <c r="K654" s="2"/>
      <c r="L654" s="2"/>
    </row>
    <row r="655" spans="3:12" ht="15.75" customHeight="1">
      <c r="C655" s="13"/>
      <c r="K655" s="2"/>
      <c r="L655" s="2"/>
    </row>
    <row r="656" spans="3:12" ht="15.75" customHeight="1">
      <c r="C656" s="13"/>
      <c r="K656" s="2"/>
      <c r="L656" s="2"/>
    </row>
    <row r="657" spans="3:12" ht="15.75" customHeight="1">
      <c r="C657" s="13"/>
      <c r="K657" s="2"/>
      <c r="L657" s="2"/>
    </row>
    <row r="658" spans="3:12" ht="15.75" customHeight="1">
      <c r="C658" s="13"/>
      <c r="K658" s="2"/>
      <c r="L658" s="2"/>
    </row>
    <row r="659" spans="3:12" ht="15.75" customHeight="1">
      <c r="C659" s="13"/>
      <c r="K659" s="2"/>
      <c r="L659" s="2"/>
    </row>
    <row r="660" spans="3:12" ht="15.75" customHeight="1">
      <c r="C660" s="13"/>
      <c r="K660" s="2"/>
      <c r="L660" s="2"/>
    </row>
    <row r="661" spans="3:12" ht="15.75" customHeight="1">
      <c r="C661" s="13"/>
      <c r="K661" s="2"/>
      <c r="L661" s="2"/>
    </row>
    <row r="662" spans="3:12" ht="15.75" customHeight="1">
      <c r="C662" s="13"/>
      <c r="K662" s="2"/>
      <c r="L662" s="2"/>
    </row>
    <row r="663" spans="3:12" ht="15.75" customHeight="1">
      <c r="C663" s="13"/>
      <c r="K663" s="2"/>
      <c r="L663" s="2"/>
    </row>
    <row r="664" spans="3:12" ht="15.75" customHeight="1">
      <c r="C664" s="13"/>
      <c r="K664" s="2"/>
      <c r="L664" s="2"/>
    </row>
    <row r="665" spans="3:12" ht="15.75" customHeight="1">
      <c r="C665" s="13"/>
      <c r="K665" s="2"/>
      <c r="L665" s="2"/>
    </row>
    <row r="666" spans="3:12" ht="15.75" customHeight="1">
      <c r="C666" s="13"/>
      <c r="K666" s="2"/>
      <c r="L666" s="2"/>
    </row>
    <row r="667" spans="3:12" ht="15.75" customHeight="1">
      <c r="C667" s="13"/>
      <c r="K667" s="2"/>
      <c r="L667" s="2"/>
    </row>
    <row r="668" spans="3:12" ht="15.75" customHeight="1">
      <c r="C668" s="13"/>
      <c r="K668" s="2"/>
      <c r="L668" s="2"/>
    </row>
    <row r="669" spans="3:12" ht="15.75" customHeight="1">
      <c r="C669" s="13"/>
      <c r="K669" s="2"/>
      <c r="L669" s="2"/>
    </row>
    <row r="670" spans="3:12" ht="15.75" customHeight="1">
      <c r="C670" s="13"/>
      <c r="K670" s="2"/>
      <c r="L670" s="2"/>
    </row>
    <row r="671" spans="3:12" ht="15.75" customHeight="1">
      <c r="C671" s="13"/>
      <c r="K671" s="2"/>
      <c r="L671" s="2"/>
    </row>
    <row r="672" spans="3:12" ht="15.75" customHeight="1">
      <c r="C672" s="13"/>
      <c r="K672" s="2"/>
      <c r="L672" s="2"/>
    </row>
    <row r="673" spans="3:12" ht="15.75" customHeight="1">
      <c r="C673" s="13"/>
      <c r="K673" s="2"/>
      <c r="L673" s="2"/>
    </row>
    <row r="674" spans="3:12" ht="15.75" customHeight="1">
      <c r="C674" s="13"/>
      <c r="K674" s="2"/>
      <c r="L674" s="2"/>
    </row>
    <row r="675" spans="3:12" ht="15.75" customHeight="1">
      <c r="C675" s="13"/>
      <c r="K675" s="2"/>
      <c r="L675" s="2"/>
    </row>
    <row r="676" spans="3:12" ht="15.75" customHeight="1">
      <c r="C676" s="13"/>
      <c r="K676" s="2"/>
      <c r="L676" s="2"/>
    </row>
    <row r="677" spans="3:12" ht="15.75" customHeight="1">
      <c r="C677" s="13"/>
      <c r="K677" s="2"/>
      <c r="L677" s="2"/>
    </row>
    <row r="678" spans="3:12" ht="15.75" customHeight="1">
      <c r="C678" s="13"/>
      <c r="K678" s="2"/>
      <c r="L678" s="2"/>
    </row>
    <row r="679" spans="3:12" ht="15.75" customHeight="1">
      <c r="C679" s="13"/>
      <c r="K679" s="2"/>
      <c r="L679" s="2"/>
    </row>
    <row r="680" spans="3:12" ht="15.75" customHeight="1">
      <c r="C680" s="13"/>
      <c r="K680" s="2"/>
      <c r="L680" s="2"/>
    </row>
    <row r="681" spans="3:12" ht="15.75" customHeight="1">
      <c r="C681" s="13"/>
      <c r="K681" s="2"/>
      <c r="L681" s="2"/>
    </row>
    <row r="682" spans="3:12" ht="15.75" customHeight="1">
      <c r="C682" s="13"/>
      <c r="K682" s="2"/>
      <c r="L682" s="2"/>
    </row>
    <row r="683" spans="3:12" ht="15.75" customHeight="1">
      <c r="C683" s="13"/>
      <c r="K683" s="2"/>
      <c r="L683" s="2"/>
    </row>
    <row r="684" spans="3:12" ht="15.75" customHeight="1">
      <c r="C684" s="13"/>
      <c r="K684" s="2"/>
      <c r="L684" s="2"/>
    </row>
    <row r="685" spans="3:12" ht="15.75" customHeight="1">
      <c r="C685" s="13"/>
      <c r="K685" s="2"/>
      <c r="L685" s="2"/>
    </row>
    <row r="686" spans="3:12" ht="15.75" customHeight="1">
      <c r="C686" s="13"/>
      <c r="K686" s="2"/>
      <c r="L686" s="2"/>
    </row>
    <row r="687" spans="3:12" ht="15.75" customHeight="1">
      <c r="C687" s="13"/>
      <c r="K687" s="2"/>
      <c r="L687" s="2"/>
    </row>
    <row r="688" spans="3:12" ht="15.75" customHeight="1">
      <c r="C688" s="13"/>
      <c r="K688" s="2"/>
      <c r="L688" s="2"/>
    </row>
    <row r="689" spans="3:12" ht="15.75" customHeight="1">
      <c r="C689" s="13"/>
      <c r="K689" s="2"/>
      <c r="L689" s="2"/>
    </row>
    <row r="690" spans="3:12" ht="15.75" customHeight="1">
      <c r="C690" s="13"/>
      <c r="K690" s="2"/>
      <c r="L690" s="2"/>
    </row>
    <row r="691" spans="3:12" ht="15.75" customHeight="1">
      <c r="C691" s="13"/>
      <c r="K691" s="2"/>
      <c r="L691" s="2"/>
    </row>
    <row r="692" spans="3:12" ht="15.75" customHeight="1">
      <c r="C692" s="13"/>
      <c r="K692" s="2"/>
      <c r="L692" s="2"/>
    </row>
    <row r="693" spans="3:12" ht="15.75" customHeight="1">
      <c r="C693" s="13"/>
      <c r="K693" s="2"/>
      <c r="L693" s="2"/>
    </row>
    <row r="694" spans="3:12" ht="15.75" customHeight="1">
      <c r="C694" s="13"/>
      <c r="K694" s="2"/>
      <c r="L694" s="2"/>
    </row>
    <row r="695" spans="3:12" ht="15.75" customHeight="1">
      <c r="C695" s="13"/>
      <c r="K695" s="2"/>
      <c r="L695" s="2"/>
    </row>
    <row r="696" spans="3:12" ht="15.75" customHeight="1">
      <c r="C696" s="13"/>
      <c r="K696" s="2"/>
      <c r="L696" s="2"/>
    </row>
    <row r="697" spans="3:12" ht="15.75" customHeight="1">
      <c r="C697" s="13"/>
      <c r="K697" s="2"/>
      <c r="L697" s="2"/>
    </row>
    <row r="698" spans="3:12" ht="15.75" customHeight="1">
      <c r="C698" s="13"/>
      <c r="K698" s="2"/>
      <c r="L698" s="2"/>
    </row>
    <row r="699" spans="3:12" ht="15.75" customHeight="1">
      <c r="C699" s="13"/>
      <c r="K699" s="2"/>
      <c r="L699" s="2"/>
    </row>
    <row r="700" spans="3:12" ht="15.75" customHeight="1">
      <c r="C700" s="13"/>
      <c r="K700" s="2"/>
      <c r="L700" s="2"/>
    </row>
    <row r="701" spans="3:12" ht="15.75" customHeight="1">
      <c r="C701" s="13"/>
      <c r="K701" s="2"/>
      <c r="L701" s="2"/>
    </row>
    <row r="702" spans="3:12" ht="15.75" customHeight="1">
      <c r="C702" s="13"/>
      <c r="K702" s="2"/>
      <c r="L702" s="2"/>
    </row>
    <row r="703" spans="3:12" ht="15.75" customHeight="1">
      <c r="C703" s="13"/>
      <c r="K703" s="2"/>
      <c r="L703" s="2"/>
    </row>
    <row r="704" spans="3:12" ht="15.75" customHeight="1">
      <c r="C704" s="13"/>
      <c r="K704" s="2"/>
      <c r="L704" s="2"/>
    </row>
    <row r="705" spans="3:12" ht="15.75" customHeight="1">
      <c r="C705" s="13"/>
      <c r="K705" s="2"/>
      <c r="L705" s="2"/>
    </row>
    <row r="706" spans="3:12" ht="15.75" customHeight="1">
      <c r="C706" s="13"/>
      <c r="K706" s="2"/>
      <c r="L706" s="2"/>
    </row>
    <row r="707" spans="3:12" ht="15.75" customHeight="1">
      <c r="C707" s="13"/>
      <c r="K707" s="2"/>
      <c r="L707" s="2"/>
    </row>
    <row r="708" spans="3:12" ht="15.75" customHeight="1">
      <c r="C708" s="13"/>
      <c r="K708" s="2"/>
      <c r="L708" s="2"/>
    </row>
    <row r="709" spans="3:12" ht="15.75" customHeight="1">
      <c r="C709" s="13"/>
      <c r="K709" s="2"/>
      <c r="L709" s="2"/>
    </row>
    <row r="710" spans="3:12" ht="15.75" customHeight="1">
      <c r="C710" s="13"/>
      <c r="K710" s="2"/>
      <c r="L710" s="2"/>
    </row>
    <row r="711" spans="3:12" ht="15.75" customHeight="1">
      <c r="C711" s="13"/>
      <c r="K711" s="2"/>
      <c r="L711" s="2"/>
    </row>
    <row r="712" spans="3:12" ht="15.75" customHeight="1">
      <c r="C712" s="13"/>
      <c r="K712" s="2"/>
      <c r="L712" s="2"/>
    </row>
    <row r="713" spans="3:12" ht="15.75" customHeight="1">
      <c r="C713" s="13"/>
      <c r="K713" s="2"/>
      <c r="L713" s="2"/>
    </row>
    <row r="714" spans="3:12" ht="15.75" customHeight="1">
      <c r="C714" s="13"/>
      <c r="K714" s="2"/>
      <c r="L714" s="2"/>
    </row>
    <row r="715" spans="3:12" ht="15.75" customHeight="1">
      <c r="C715" s="13"/>
      <c r="K715" s="2"/>
      <c r="L715" s="2"/>
    </row>
    <row r="716" spans="3:12" ht="15.75" customHeight="1">
      <c r="C716" s="13"/>
      <c r="K716" s="2"/>
      <c r="L716" s="2"/>
    </row>
    <row r="717" spans="3:12" ht="15.75" customHeight="1">
      <c r="C717" s="13"/>
      <c r="K717" s="2"/>
      <c r="L717" s="2"/>
    </row>
    <row r="718" spans="3:12" ht="15.75" customHeight="1">
      <c r="C718" s="13"/>
      <c r="K718" s="2"/>
      <c r="L718" s="2"/>
    </row>
    <row r="719" spans="3:12" ht="15.75" customHeight="1">
      <c r="C719" s="13"/>
      <c r="K719" s="2"/>
      <c r="L719" s="2"/>
    </row>
    <row r="720" spans="3:12" ht="15.75" customHeight="1">
      <c r="C720" s="13"/>
      <c r="K720" s="2"/>
      <c r="L720" s="2"/>
    </row>
    <row r="721" spans="3:12" ht="15.75" customHeight="1">
      <c r="C721" s="13"/>
      <c r="K721" s="2"/>
      <c r="L721" s="2"/>
    </row>
    <row r="722" spans="3:12" ht="15.75" customHeight="1">
      <c r="C722" s="13"/>
      <c r="K722" s="2"/>
      <c r="L722" s="2"/>
    </row>
    <row r="723" spans="3:12" ht="15.75" customHeight="1">
      <c r="C723" s="13"/>
      <c r="K723" s="2"/>
      <c r="L723" s="2"/>
    </row>
    <row r="724" spans="3:12" ht="15.75" customHeight="1">
      <c r="C724" s="13"/>
      <c r="K724" s="2"/>
      <c r="L724" s="2"/>
    </row>
    <row r="725" spans="3:12" ht="15.75" customHeight="1">
      <c r="C725" s="13"/>
      <c r="K725" s="2"/>
      <c r="L725" s="2"/>
    </row>
    <row r="726" spans="3:12" ht="15.75" customHeight="1">
      <c r="C726" s="13"/>
      <c r="K726" s="2"/>
      <c r="L726" s="2"/>
    </row>
    <row r="727" spans="3:12" ht="15.75" customHeight="1">
      <c r="C727" s="13"/>
      <c r="K727" s="2"/>
      <c r="L727" s="2"/>
    </row>
    <row r="728" spans="3:12" ht="15.75" customHeight="1">
      <c r="C728" s="13"/>
      <c r="K728" s="2"/>
      <c r="L728" s="2"/>
    </row>
    <row r="729" spans="3:12" ht="15.75" customHeight="1">
      <c r="C729" s="13"/>
      <c r="K729" s="2"/>
      <c r="L729" s="2"/>
    </row>
    <row r="730" spans="3:12" ht="15.75" customHeight="1">
      <c r="C730" s="13"/>
      <c r="K730" s="2"/>
      <c r="L730" s="2"/>
    </row>
    <row r="731" spans="3:12" ht="15.75" customHeight="1">
      <c r="C731" s="13"/>
      <c r="K731" s="2"/>
      <c r="L731" s="2"/>
    </row>
    <row r="732" spans="3:12" ht="15.75" customHeight="1">
      <c r="C732" s="13"/>
      <c r="K732" s="2"/>
      <c r="L732" s="2"/>
    </row>
    <row r="733" spans="3:12" ht="15.75" customHeight="1">
      <c r="C733" s="13"/>
      <c r="K733" s="2"/>
      <c r="L733" s="2"/>
    </row>
    <row r="734" spans="3:12" ht="15.75" customHeight="1">
      <c r="C734" s="13"/>
      <c r="K734" s="2"/>
      <c r="L734" s="2"/>
    </row>
    <row r="735" spans="3:12" ht="15.75" customHeight="1">
      <c r="C735" s="13"/>
      <c r="K735" s="2"/>
      <c r="L735" s="2"/>
    </row>
    <row r="736" spans="3:12" ht="15.75" customHeight="1">
      <c r="C736" s="13"/>
      <c r="K736" s="2"/>
      <c r="L736" s="2"/>
    </row>
    <row r="737" spans="3:12" ht="15.75" customHeight="1">
      <c r="C737" s="13"/>
      <c r="K737" s="2"/>
      <c r="L737" s="2"/>
    </row>
    <row r="738" spans="3:12" ht="15.75" customHeight="1">
      <c r="C738" s="13"/>
      <c r="K738" s="2"/>
      <c r="L738" s="2"/>
    </row>
    <row r="739" spans="3:12" ht="15.75" customHeight="1">
      <c r="C739" s="13"/>
      <c r="K739" s="2"/>
      <c r="L739" s="2"/>
    </row>
    <row r="740" spans="3:12" ht="15.75" customHeight="1">
      <c r="C740" s="13"/>
      <c r="K740" s="2"/>
      <c r="L740" s="2"/>
    </row>
    <row r="741" spans="3:12" ht="15.75" customHeight="1">
      <c r="C741" s="13"/>
      <c r="K741" s="2"/>
      <c r="L741" s="2"/>
    </row>
    <row r="742" spans="3:12" ht="15.75" customHeight="1">
      <c r="C742" s="13"/>
      <c r="K742" s="2"/>
      <c r="L742" s="2"/>
    </row>
    <row r="743" spans="3:12" ht="15.75" customHeight="1">
      <c r="C743" s="13"/>
      <c r="K743" s="2"/>
      <c r="L743" s="2"/>
    </row>
    <row r="744" spans="3:12" ht="15.75" customHeight="1">
      <c r="C744" s="13"/>
      <c r="K744" s="2"/>
      <c r="L744" s="2"/>
    </row>
    <row r="745" spans="3:12" ht="15.75" customHeight="1">
      <c r="C745" s="13"/>
      <c r="K745" s="2"/>
      <c r="L745" s="2"/>
    </row>
    <row r="746" spans="3:12" ht="15.75" customHeight="1">
      <c r="C746" s="13"/>
      <c r="K746" s="2"/>
      <c r="L746" s="2"/>
    </row>
    <row r="747" spans="3:12" ht="15.75" customHeight="1">
      <c r="C747" s="13"/>
      <c r="K747" s="2"/>
      <c r="L747" s="2"/>
    </row>
    <row r="748" spans="3:12" ht="15.75" customHeight="1">
      <c r="C748" s="13"/>
      <c r="K748" s="2"/>
      <c r="L748" s="2"/>
    </row>
    <row r="749" spans="3:12" ht="15.75" customHeight="1">
      <c r="C749" s="13"/>
      <c r="K749" s="2"/>
      <c r="L749" s="2"/>
    </row>
    <row r="750" spans="3:12" ht="15.75" customHeight="1">
      <c r="C750" s="13"/>
      <c r="K750" s="2"/>
      <c r="L750" s="2"/>
    </row>
    <row r="751" spans="3:12" ht="15.75" customHeight="1">
      <c r="C751" s="13"/>
      <c r="K751" s="2"/>
      <c r="L751" s="2"/>
    </row>
    <row r="752" spans="3:12" ht="15.75" customHeight="1">
      <c r="C752" s="13"/>
      <c r="K752" s="2"/>
      <c r="L752" s="2"/>
    </row>
    <row r="753" spans="3:12" ht="15.75" customHeight="1">
      <c r="C753" s="13"/>
      <c r="K753" s="2"/>
      <c r="L753" s="2"/>
    </row>
    <row r="754" spans="3:12" ht="15.75" customHeight="1">
      <c r="C754" s="13"/>
      <c r="K754" s="2"/>
      <c r="L754" s="2"/>
    </row>
    <row r="755" spans="3:12" ht="15.75" customHeight="1">
      <c r="C755" s="13"/>
      <c r="K755" s="2"/>
      <c r="L755" s="2"/>
    </row>
    <row r="756" spans="3:12" ht="15.75" customHeight="1">
      <c r="C756" s="13"/>
      <c r="K756" s="2"/>
      <c r="L756" s="2"/>
    </row>
    <row r="757" spans="3:12" ht="15.75" customHeight="1">
      <c r="C757" s="13"/>
      <c r="K757" s="2"/>
      <c r="L757" s="2"/>
    </row>
    <row r="758" spans="3:12" ht="15.75" customHeight="1">
      <c r="C758" s="13"/>
      <c r="K758" s="2"/>
      <c r="L758" s="2"/>
    </row>
    <row r="759" spans="3:12" ht="15.75" customHeight="1">
      <c r="C759" s="13"/>
      <c r="K759" s="2"/>
      <c r="L759" s="2"/>
    </row>
    <row r="760" spans="3:12" ht="15.75" customHeight="1">
      <c r="C760" s="13"/>
      <c r="K760" s="2"/>
      <c r="L760" s="2"/>
    </row>
    <row r="761" spans="3:12" ht="15.75" customHeight="1">
      <c r="C761" s="13"/>
      <c r="K761" s="2"/>
      <c r="L761" s="2"/>
    </row>
    <row r="762" spans="3:12" ht="15.75" customHeight="1">
      <c r="C762" s="13"/>
      <c r="K762" s="2"/>
      <c r="L762" s="2"/>
    </row>
    <row r="763" spans="3:12" ht="15.75" customHeight="1">
      <c r="C763" s="13"/>
      <c r="K763" s="2"/>
      <c r="L763" s="2"/>
    </row>
    <row r="764" spans="3:12" ht="15.75" customHeight="1">
      <c r="C764" s="13"/>
      <c r="K764" s="2"/>
      <c r="L764" s="2"/>
    </row>
    <row r="765" spans="3:12" ht="15.75" customHeight="1">
      <c r="C765" s="13"/>
      <c r="K765" s="2"/>
      <c r="L765" s="2"/>
    </row>
    <row r="766" spans="3:12" ht="15.75" customHeight="1">
      <c r="C766" s="13"/>
      <c r="K766" s="2"/>
      <c r="L766" s="2"/>
    </row>
    <row r="767" spans="3:12" ht="15.75" customHeight="1">
      <c r="C767" s="13"/>
      <c r="K767" s="2"/>
      <c r="L767" s="2"/>
    </row>
    <row r="768" spans="3:12" ht="14.4">
      <c r="C768" s="13"/>
    </row>
    <row r="769" spans="3:3" ht="14.4">
      <c r="C769" s="13"/>
    </row>
  </sheetData>
  <mergeCells count="6">
    <mergeCell ref="C73:N73"/>
    <mergeCell ref="F2:G5"/>
    <mergeCell ref="P4:R4"/>
    <mergeCell ref="P6:R6"/>
    <mergeCell ref="C7:N7"/>
    <mergeCell ref="C42:N42"/>
  </mergeCells>
  <phoneticPr fontId="18" type="noConversion"/>
  <hyperlinks>
    <hyperlink ref="N9" r:id="rId1"/>
    <hyperlink ref="N11" r:id="rId2"/>
    <hyperlink ref="N13" r:id="rId3"/>
    <hyperlink ref="N15" r:id="rId4"/>
    <hyperlink ref="N17" r:id="rId5"/>
    <hyperlink ref="N19" r:id="rId6"/>
    <hyperlink ref="N21" r:id="rId7"/>
    <hyperlink ref="N23" r:id="rId8"/>
    <hyperlink ref="N25" r:id="rId9"/>
    <hyperlink ref="N27" r:id="rId10"/>
    <hyperlink ref="N29" r:id="rId11"/>
    <hyperlink ref="N10" r:id="rId12"/>
    <hyperlink ref="N12" r:id="rId13"/>
    <hyperlink ref="N14" r:id="rId14"/>
    <hyperlink ref="N16" r:id="rId15"/>
    <hyperlink ref="N18" r:id="rId16"/>
    <hyperlink ref="N20" r:id="rId17"/>
    <hyperlink ref="N22" r:id="rId18"/>
    <hyperlink ref="N24" r:id="rId19"/>
    <hyperlink ref="N26" r:id="rId20"/>
    <hyperlink ref="N28" r:id="rId21"/>
  </hyperlinks>
  <pageMargins left="0.7" right="0.7" top="0.75" bottom="0.75" header="0" footer="0"/>
  <pageSetup orientation="landscape"/>
  <drawing r:id="rId2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R768"/>
  <sheetViews>
    <sheetView topLeftCell="A107" workbookViewId="0">
      <selection activeCell="A129" sqref="A129"/>
    </sheetView>
  </sheetViews>
  <sheetFormatPr baseColWidth="10" defaultColWidth="14.44140625" defaultRowHeight="15" customHeight="1"/>
  <cols>
    <col min="1" max="2" width="3.109375" customWidth="1"/>
    <col min="3" max="3" width="31.88671875" customWidth="1"/>
    <col min="4" max="5" width="4.88671875" customWidth="1"/>
    <col min="6" max="6" width="23.88671875" customWidth="1"/>
    <col min="7" max="7" width="10.6640625" customWidth="1"/>
    <col min="8" max="8" width="84.88671875" customWidth="1"/>
    <col min="9" max="9" width="15.44140625" customWidth="1"/>
    <col min="10" max="10" width="17.88671875" customWidth="1"/>
    <col min="11" max="11" width="20" customWidth="1"/>
    <col min="12" max="12" width="13.88671875" customWidth="1"/>
    <col min="13" max="13" width="18" customWidth="1"/>
    <col min="14" max="14" width="86.88671875" bestFit="1" customWidth="1"/>
    <col min="15" max="16" width="10.6640625" customWidth="1"/>
    <col min="17" max="17" width="22.44140625" customWidth="1"/>
    <col min="18" max="18" width="17.88671875" customWidth="1"/>
    <col min="19" max="26" width="10.6640625" customWidth="1"/>
  </cols>
  <sheetData>
    <row r="1" spans="3:18" ht="14.4">
      <c r="C1" s="13"/>
      <c r="G1" s="1"/>
      <c r="K1" s="2"/>
      <c r="L1" s="2"/>
    </row>
    <row r="2" spans="3:18" ht="14.4">
      <c r="C2" s="13"/>
      <c r="F2" s="167"/>
      <c r="G2" s="168"/>
      <c r="K2" s="2"/>
      <c r="L2" s="2"/>
    </row>
    <row r="3" spans="3:18" ht="14.4">
      <c r="C3" s="13"/>
      <c r="F3" s="169"/>
      <c r="G3" s="170"/>
      <c r="K3" s="2"/>
      <c r="L3" s="2"/>
    </row>
    <row r="4" spans="3:18" ht="14.4">
      <c r="C4" s="13"/>
      <c r="F4" s="169"/>
      <c r="G4" s="170"/>
      <c r="K4" s="2"/>
      <c r="L4" s="2"/>
      <c r="P4" s="173" t="s">
        <v>15</v>
      </c>
      <c r="Q4" s="165"/>
      <c r="R4" s="166"/>
    </row>
    <row r="5" spans="3:18" ht="14.4">
      <c r="C5" s="13"/>
      <c r="F5" s="171"/>
      <c r="G5" s="172"/>
      <c r="K5" s="2"/>
      <c r="L5" s="2"/>
    </row>
    <row r="6" spans="3:18" ht="15.6">
      <c r="C6" s="13"/>
      <c r="G6" s="1"/>
      <c r="K6" s="2"/>
      <c r="L6" s="2"/>
      <c r="P6" s="161" t="s">
        <v>127</v>
      </c>
      <c r="Q6" s="162"/>
      <c r="R6" s="163"/>
    </row>
    <row r="7" spans="3:18" ht="21">
      <c r="C7" s="164" t="s">
        <v>309</v>
      </c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6"/>
      <c r="P7" s="4" t="s">
        <v>1</v>
      </c>
      <c r="Q7" s="4" t="s">
        <v>2</v>
      </c>
      <c r="R7" s="4" t="s">
        <v>3</v>
      </c>
    </row>
    <row r="8" spans="3:18" ht="15.6">
      <c r="C8" s="14" t="s">
        <v>16</v>
      </c>
      <c r="D8" s="15" t="s">
        <v>17</v>
      </c>
      <c r="E8" s="16" t="s">
        <v>18</v>
      </c>
      <c r="F8" s="17" t="s">
        <v>19</v>
      </c>
      <c r="G8" s="17" t="s">
        <v>20</v>
      </c>
      <c r="H8" s="17" t="s">
        <v>21</v>
      </c>
      <c r="I8" s="17" t="s">
        <v>22</v>
      </c>
      <c r="J8" s="17" t="s">
        <v>2</v>
      </c>
      <c r="K8" s="18" t="s">
        <v>23</v>
      </c>
      <c r="L8" s="18" t="s">
        <v>24</v>
      </c>
      <c r="M8" s="17" t="s">
        <v>25</v>
      </c>
      <c r="N8" s="17" t="s">
        <v>26</v>
      </c>
      <c r="P8" s="6" t="s">
        <v>34</v>
      </c>
      <c r="Q8" s="7"/>
      <c r="R8" s="8"/>
    </row>
    <row r="9" spans="3:18" ht="14.4">
      <c r="C9" s="19"/>
      <c r="D9" s="15"/>
      <c r="E9" s="20"/>
      <c r="F9" s="21"/>
      <c r="G9" s="21"/>
      <c r="H9" s="22"/>
      <c r="I9" s="23"/>
      <c r="J9" s="23"/>
      <c r="K9" s="23"/>
      <c r="L9" s="8"/>
      <c r="M9" s="21"/>
      <c r="N9" s="82"/>
      <c r="P9" s="6"/>
      <c r="Q9" s="7"/>
      <c r="R9" s="10"/>
    </row>
    <row r="10" spans="3:18" ht="14.4">
      <c r="C10" s="24"/>
      <c r="D10" s="25"/>
      <c r="E10" s="16"/>
      <c r="F10" s="21"/>
      <c r="G10" s="26"/>
      <c r="H10" s="22"/>
      <c r="I10" s="21"/>
      <c r="J10" s="27"/>
      <c r="K10" s="7"/>
      <c r="L10" s="8"/>
      <c r="M10" s="21"/>
      <c r="N10" s="82"/>
      <c r="P10" s="6"/>
      <c r="Q10" s="7"/>
      <c r="R10" s="10"/>
    </row>
    <row r="11" spans="3:18" ht="14.4">
      <c r="C11" s="19"/>
      <c r="D11" s="20"/>
      <c r="E11" s="16"/>
      <c r="F11" s="21"/>
      <c r="G11" s="21"/>
      <c r="H11" s="72"/>
      <c r="I11" s="21"/>
      <c r="J11" s="5"/>
      <c r="K11" s="7"/>
      <c r="L11" s="8"/>
      <c r="M11" s="21"/>
      <c r="N11" s="82"/>
      <c r="P11" s="6"/>
      <c r="Q11" s="7"/>
      <c r="R11" s="11"/>
    </row>
    <row r="12" spans="3:18" ht="14.4">
      <c r="C12" s="24"/>
      <c r="D12" s="15"/>
      <c r="E12" s="25"/>
      <c r="F12" s="21"/>
      <c r="G12" s="21"/>
      <c r="H12" s="72"/>
      <c r="I12" s="21"/>
      <c r="J12" s="5"/>
      <c r="K12" s="7"/>
      <c r="L12" s="8"/>
      <c r="M12" s="21"/>
      <c r="N12" s="82"/>
      <c r="P12" s="6"/>
      <c r="Q12" s="7"/>
      <c r="R12" s="11"/>
    </row>
    <row r="13" spans="3:18" ht="14.4">
      <c r="C13" s="19"/>
      <c r="D13" s="15"/>
      <c r="E13" s="20"/>
      <c r="F13" s="21"/>
      <c r="G13" s="21"/>
      <c r="H13" s="72"/>
      <c r="I13" s="21"/>
      <c r="J13" s="5"/>
      <c r="K13" s="7"/>
      <c r="L13" s="8"/>
      <c r="M13" s="21"/>
      <c r="N13" s="82"/>
      <c r="P13" s="6"/>
      <c r="Q13" s="7"/>
      <c r="R13" s="12"/>
    </row>
    <row r="14" spans="3:18" ht="14.4">
      <c r="C14" s="24"/>
      <c r="D14" s="15"/>
      <c r="E14" s="25"/>
      <c r="F14" s="21"/>
      <c r="G14" s="21"/>
      <c r="H14" s="72"/>
      <c r="I14" s="21"/>
      <c r="J14" s="28"/>
      <c r="K14" s="7"/>
      <c r="L14" s="8"/>
      <c r="M14" s="21"/>
      <c r="N14" s="82"/>
      <c r="P14" s="6"/>
      <c r="Q14" s="7"/>
      <c r="R14" s="12"/>
    </row>
    <row r="15" spans="3:18" ht="14.4">
      <c r="C15" s="19"/>
      <c r="D15" s="15"/>
      <c r="E15" s="20"/>
      <c r="F15" s="73"/>
      <c r="G15" s="73"/>
      <c r="H15" s="72"/>
      <c r="I15" s="21"/>
      <c r="J15" s="28"/>
      <c r="K15" s="7"/>
      <c r="L15" s="8"/>
      <c r="M15" s="21"/>
      <c r="N15" s="82"/>
      <c r="P15" s="6"/>
      <c r="Q15" s="7"/>
      <c r="R15" s="12"/>
    </row>
    <row r="16" spans="3:18" ht="14.4">
      <c r="C16" s="24"/>
      <c r="D16" s="15"/>
      <c r="F16" s="74"/>
      <c r="G16" s="74"/>
      <c r="H16" s="72"/>
      <c r="I16" s="21"/>
      <c r="J16" s="27"/>
      <c r="K16" s="7"/>
      <c r="L16" s="8"/>
      <c r="M16" s="23"/>
      <c r="N16" s="82"/>
      <c r="P16" s="6"/>
      <c r="Q16" s="7"/>
      <c r="R16" s="12"/>
    </row>
    <row r="17" spans="3:18" ht="14.4">
      <c r="C17" s="19"/>
      <c r="D17" s="15"/>
      <c r="E17" s="20"/>
      <c r="F17" s="30"/>
      <c r="G17" s="30"/>
      <c r="H17" s="72"/>
      <c r="I17" s="21"/>
      <c r="J17" s="28"/>
      <c r="K17" s="7"/>
      <c r="L17" s="8"/>
      <c r="M17" s="21"/>
      <c r="N17" s="82"/>
      <c r="P17" s="6"/>
      <c r="Q17" s="7"/>
      <c r="R17" s="12"/>
    </row>
    <row r="18" spans="3:18" ht="14.4">
      <c r="C18" s="24"/>
      <c r="D18" s="15"/>
      <c r="E18" s="25"/>
      <c r="F18" s="21"/>
      <c r="G18" s="21"/>
      <c r="H18" s="72"/>
      <c r="I18" s="21"/>
      <c r="J18" s="27"/>
      <c r="K18" s="7"/>
      <c r="L18" s="8"/>
      <c r="M18" s="21"/>
      <c r="N18" s="82"/>
      <c r="P18" s="6"/>
      <c r="Q18" s="7"/>
      <c r="R18" s="12"/>
    </row>
    <row r="19" spans="3:18" ht="14.4">
      <c r="C19" s="19"/>
      <c r="D19" s="15"/>
      <c r="E19" s="20"/>
      <c r="F19" s="21"/>
      <c r="G19" s="21"/>
      <c r="H19" s="72"/>
      <c r="I19" s="21"/>
      <c r="J19" s="28"/>
      <c r="K19" s="7"/>
      <c r="L19" s="8"/>
      <c r="M19" s="21"/>
      <c r="N19" s="82"/>
      <c r="P19" s="6"/>
      <c r="Q19" s="7"/>
      <c r="R19" s="12"/>
    </row>
    <row r="20" spans="3:18" ht="14.4">
      <c r="C20" s="24"/>
      <c r="D20" s="15"/>
      <c r="E20" s="25"/>
      <c r="F20" s="21"/>
      <c r="G20" s="21"/>
      <c r="H20" s="72"/>
      <c r="I20" s="21"/>
      <c r="J20" s="28"/>
      <c r="K20" s="7"/>
      <c r="L20" s="8"/>
      <c r="M20" s="21"/>
      <c r="N20" s="82"/>
    </row>
    <row r="21" spans="3:18" ht="15.75" customHeight="1">
      <c r="C21" s="19"/>
      <c r="D21" s="15"/>
      <c r="E21" s="20"/>
      <c r="F21" s="21"/>
      <c r="G21" s="21"/>
      <c r="H21" s="72"/>
      <c r="I21" s="21"/>
      <c r="J21" s="28"/>
      <c r="K21" s="7"/>
      <c r="L21" s="8"/>
      <c r="M21" s="21"/>
      <c r="N21" s="82"/>
    </row>
    <row r="22" spans="3:18" ht="15.75" customHeight="1">
      <c r="C22" s="24"/>
      <c r="D22" s="15"/>
      <c r="E22" s="20"/>
      <c r="F22" s="21"/>
      <c r="G22" s="21"/>
      <c r="H22" s="72"/>
      <c r="I22" s="21"/>
      <c r="J22" s="28"/>
      <c r="K22" s="7"/>
      <c r="L22" s="8"/>
      <c r="M22" s="21"/>
      <c r="N22" s="82"/>
    </row>
    <row r="23" spans="3:18" ht="15.75" customHeight="1">
      <c r="C23" s="19"/>
      <c r="D23" s="15"/>
      <c r="E23" s="20"/>
      <c r="F23" s="21"/>
      <c r="G23" s="21"/>
      <c r="H23" s="72"/>
      <c r="I23" s="21"/>
      <c r="J23" s="28"/>
      <c r="K23" s="7"/>
      <c r="L23" s="8"/>
      <c r="M23" s="21"/>
      <c r="N23" s="82"/>
    </row>
    <row r="24" spans="3:18" ht="15.75" customHeight="1">
      <c r="C24" s="24"/>
      <c r="D24" s="15"/>
      <c r="E24" s="20"/>
      <c r="F24" s="21"/>
      <c r="G24" s="21"/>
      <c r="H24" s="72"/>
      <c r="I24" s="21"/>
      <c r="J24" s="28"/>
      <c r="K24" s="7"/>
      <c r="L24" s="8"/>
      <c r="M24" s="21"/>
      <c r="N24" s="82"/>
    </row>
    <row r="25" spans="3:18" ht="15.75" customHeight="1">
      <c r="C25" s="19"/>
      <c r="D25" s="20"/>
      <c r="E25" s="16"/>
      <c r="F25" s="21"/>
      <c r="G25" s="21"/>
      <c r="H25" s="72"/>
      <c r="I25" s="21"/>
      <c r="J25" s="28"/>
      <c r="K25" s="7"/>
      <c r="L25" s="8"/>
      <c r="M25" s="21"/>
      <c r="N25" s="82"/>
    </row>
    <row r="26" spans="3:18" ht="15.75" customHeight="1">
      <c r="C26" s="24"/>
      <c r="D26" s="15"/>
      <c r="E26" s="25"/>
      <c r="F26" s="21"/>
      <c r="G26" s="21"/>
      <c r="H26" s="72"/>
      <c r="I26" s="21"/>
      <c r="J26" s="27"/>
      <c r="K26" s="7"/>
      <c r="L26" s="8"/>
      <c r="M26" s="21"/>
      <c r="N26" s="82"/>
    </row>
    <row r="27" spans="3:18" ht="15.75" customHeight="1">
      <c r="C27" s="19"/>
      <c r="D27" s="15"/>
      <c r="E27" s="20"/>
      <c r="F27" s="21"/>
      <c r="G27" s="21"/>
      <c r="H27" s="72"/>
      <c r="I27" s="21"/>
      <c r="J27" s="28"/>
      <c r="K27" s="7"/>
      <c r="L27" s="8"/>
      <c r="M27" s="21"/>
      <c r="N27" s="82"/>
    </row>
    <row r="28" spans="3:18" ht="15.75" customHeight="1">
      <c r="C28" s="24"/>
      <c r="D28" s="15"/>
      <c r="E28" s="25"/>
      <c r="F28" s="21"/>
      <c r="G28" s="21"/>
      <c r="H28" s="72"/>
      <c r="I28" s="21"/>
      <c r="J28" s="28"/>
      <c r="K28" s="7"/>
      <c r="L28" s="8"/>
      <c r="M28" s="21"/>
      <c r="N28" s="82"/>
    </row>
    <row r="29" spans="3:18" ht="15.75" customHeight="1">
      <c r="C29" s="19"/>
      <c r="D29" s="15"/>
      <c r="E29" s="20"/>
      <c r="F29" s="21"/>
      <c r="G29" s="21"/>
      <c r="H29" s="72"/>
      <c r="I29" s="21"/>
      <c r="J29" s="28"/>
      <c r="K29" s="7"/>
      <c r="L29" s="8"/>
      <c r="M29" s="21"/>
      <c r="N29" s="82"/>
    </row>
    <row r="30" spans="3:18" ht="15.75" customHeight="1">
      <c r="C30" s="24"/>
      <c r="D30" s="15"/>
      <c r="E30" s="25"/>
      <c r="F30" s="21"/>
      <c r="G30" s="21"/>
      <c r="H30" s="72"/>
      <c r="I30" s="21"/>
      <c r="J30" s="28"/>
      <c r="K30" s="7"/>
      <c r="L30" s="8"/>
      <c r="M30" s="21"/>
      <c r="N30" s="21"/>
    </row>
    <row r="31" spans="3:18" ht="15.75" customHeight="1">
      <c r="C31" s="19"/>
      <c r="D31" s="15"/>
      <c r="E31" s="20"/>
      <c r="F31" s="21"/>
      <c r="G31" s="21"/>
      <c r="H31" s="83"/>
      <c r="I31" s="21"/>
      <c r="J31" s="27"/>
      <c r="K31" s="7"/>
      <c r="L31" s="8"/>
      <c r="M31" s="21"/>
      <c r="N31" s="21"/>
    </row>
    <row r="32" spans="3:18" ht="15.75" customHeight="1">
      <c r="C32" s="24"/>
      <c r="D32" s="15"/>
      <c r="E32" s="25"/>
      <c r="F32" s="21"/>
      <c r="G32" s="21"/>
      <c r="H32" s="83"/>
      <c r="I32" s="21"/>
      <c r="J32" s="28"/>
      <c r="K32" s="7"/>
      <c r="L32" s="8"/>
      <c r="M32" s="21"/>
      <c r="N32" s="21"/>
    </row>
    <row r="33" spans="3:18" ht="15.75" customHeight="1">
      <c r="C33" s="19"/>
      <c r="D33" s="15"/>
      <c r="E33" s="20"/>
      <c r="F33" s="21"/>
      <c r="G33" s="21"/>
      <c r="H33" s="83"/>
      <c r="I33" s="21"/>
      <c r="J33" s="28"/>
      <c r="K33" s="7"/>
      <c r="L33" s="8"/>
      <c r="M33" s="21"/>
      <c r="N33" s="21"/>
    </row>
    <row r="34" spans="3:18" ht="15.75" customHeight="1">
      <c r="C34" s="24"/>
      <c r="D34" s="15"/>
      <c r="E34" s="25"/>
      <c r="F34" s="21"/>
      <c r="G34" s="21"/>
      <c r="H34" s="83"/>
      <c r="I34" s="21"/>
      <c r="J34" s="28"/>
      <c r="K34" s="7"/>
      <c r="L34" s="8"/>
      <c r="M34" s="21"/>
      <c r="N34" s="21"/>
    </row>
    <row r="35" spans="3:18" ht="15.75" customHeight="1">
      <c r="C35" s="19"/>
      <c r="D35" s="20"/>
      <c r="E35" s="16"/>
      <c r="F35" s="21"/>
      <c r="G35" s="21"/>
      <c r="H35" s="72"/>
      <c r="I35" s="21"/>
      <c r="J35" s="28"/>
      <c r="K35" s="7"/>
      <c r="L35" s="8"/>
      <c r="M35" s="21"/>
      <c r="N35" s="21"/>
    </row>
    <row r="36" spans="3:18" ht="15.75" customHeight="1">
      <c r="C36" s="24"/>
      <c r="D36" s="25"/>
      <c r="E36" s="15"/>
      <c r="F36" s="21"/>
      <c r="G36" s="21"/>
      <c r="H36" s="72"/>
      <c r="I36" s="21"/>
      <c r="J36" s="28"/>
      <c r="K36" s="7"/>
      <c r="L36" s="8"/>
      <c r="M36" s="21"/>
      <c r="N36" s="21"/>
    </row>
    <row r="37" spans="3:18" ht="15.75" customHeight="1">
      <c r="C37" s="19"/>
      <c r="D37" s="20"/>
      <c r="E37" s="15"/>
      <c r="F37" s="21"/>
      <c r="G37" s="21"/>
      <c r="H37" s="72"/>
      <c r="I37" s="21"/>
      <c r="J37" s="28"/>
      <c r="K37" s="7"/>
      <c r="L37" s="8"/>
      <c r="M37" s="21"/>
      <c r="N37" s="21"/>
    </row>
    <row r="38" spans="3:18" ht="15.75" customHeight="1">
      <c r="C38" s="24">
        <v>46052</v>
      </c>
      <c r="D38" s="25"/>
      <c r="E38" s="15" t="s">
        <v>17</v>
      </c>
      <c r="F38" s="21"/>
      <c r="G38" s="21"/>
      <c r="H38" s="72" t="s">
        <v>307</v>
      </c>
      <c r="I38" s="21"/>
      <c r="J38" s="28"/>
      <c r="K38" s="7"/>
      <c r="L38" s="8"/>
      <c r="M38" s="21"/>
      <c r="N38" s="21"/>
    </row>
    <row r="39" spans="3:18" ht="15.75" customHeight="1">
      <c r="C39" s="19">
        <v>46053</v>
      </c>
      <c r="D39" s="20"/>
      <c r="E39" s="15" t="s">
        <v>17</v>
      </c>
      <c r="F39" s="21"/>
      <c r="G39" s="80"/>
      <c r="H39" s="103" t="s">
        <v>308</v>
      </c>
      <c r="I39" s="104"/>
      <c r="J39" s="31"/>
      <c r="K39" s="32"/>
      <c r="L39" s="33"/>
      <c r="M39" s="30"/>
      <c r="N39" s="30"/>
    </row>
    <row r="40" spans="3:18" ht="15.75" customHeight="1">
      <c r="C40" s="13"/>
      <c r="K40" s="2"/>
      <c r="L40" s="2"/>
    </row>
    <row r="41" spans="3:18" ht="15.75" customHeight="1">
      <c r="C41" s="13"/>
      <c r="K41" s="2"/>
      <c r="L41" s="2"/>
    </row>
    <row r="42" spans="3:18" ht="21">
      <c r="C42" s="174" t="s">
        <v>310</v>
      </c>
      <c r="D42" s="165"/>
      <c r="E42" s="175"/>
      <c r="F42" s="165"/>
      <c r="G42" s="165"/>
      <c r="H42" s="165"/>
      <c r="I42" s="165"/>
      <c r="J42" s="165"/>
      <c r="K42" s="165"/>
      <c r="L42" s="165"/>
      <c r="M42" s="165"/>
      <c r="N42" s="166"/>
      <c r="P42" s="4" t="s">
        <v>1</v>
      </c>
      <c r="Q42" s="4" t="s">
        <v>2</v>
      </c>
      <c r="R42" s="4" t="s">
        <v>3</v>
      </c>
    </row>
    <row r="43" spans="3:18" ht="15.6">
      <c r="C43" s="14" t="s">
        <v>16</v>
      </c>
      <c r="D43" s="84" t="s">
        <v>17</v>
      </c>
      <c r="E43" s="76" t="s">
        <v>18</v>
      </c>
      <c r="F43" s="106" t="s">
        <v>19</v>
      </c>
      <c r="G43" s="17" t="s">
        <v>20</v>
      </c>
      <c r="H43" s="17" t="s">
        <v>21</v>
      </c>
      <c r="I43" s="17" t="s">
        <v>22</v>
      </c>
      <c r="J43" s="17" t="s">
        <v>2</v>
      </c>
      <c r="K43" s="18" t="s">
        <v>23</v>
      </c>
      <c r="L43" s="18" t="s">
        <v>24</v>
      </c>
      <c r="M43" s="17" t="s">
        <v>25</v>
      </c>
      <c r="N43" s="17" t="s">
        <v>26</v>
      </c>
      <c r="P43" s="6" t="s">
        <v>34</v>
      </c>
      <c r="Q43" s="7"/>
      <c r="R43" s="8"/>
    </row>
    <row r="44" spans="3:18" ht="14.4">
      <c r="C44" s="19">
        <v>46054</v>
      </c>
      <c r="D44" s="84" t="s">
        <v>17</v>
      </c>
      <c r="E44" s="109"/>
      <c r="F44" s="55"/>
      <c r="G44" s="21"/>
      <c r="H44" s="99" t="s">
        <v>311</v>
      </c>
      <c r="I44" s="23"/>
      <c r="J44" s="23"/>
      <c r="K44" s="23"/>
      <c r="L44" s="8"/>
      <c r="M44" s="21"/>
      <c r="N44" s="82"/>
      <c r="P44" s="6"/>
      <c r="Q44" s="7"/>
      <c r="R44" s="10"/>
    </row>
    <row r="45" spans="3:18" ht="14.4">
      <c r="C45" s="24">
        <v>46055</v>
      </c>
      <c r="D45" s="84" t="s">
        <v>17</v>
      </c>
      <c r="E45" s="109"/>
      <c r="F45" s="55"/>
      <c r="G45" s="26"/>
      <c r="H45" s="99" t="s">
        <v>312</v>
      </c>
      <c r="I45" s="21"/>
      <c r="J45" s="27"/>
      <c r="K45" s="7"/>
      <c r="L45" s="8"/>
      <c r="M45" s="21"/>
      <c r="N45" s="82"/>
      <c r="P45" s="6"/>
      <c r="Q45" s="7"/>
      <c r="R45" s="10"/>
    </row>
    <row r="46" spans="3:18" ht="14.4">
      <c r="C46" s="19">
        <v>46056</v>
      </c>
      <c r="D46" s="84" t="s">
        <v>17</v>
      </c>
      <c r="E46" s="109"/>
      <c r="F46" s="55"/>
      <c r="G46" s="21"/>
      <c r="H46" s="99" t="s">
        <v>313</v>
      </c>
      <c r="I46" s="21"/>
      <c r="J46" s="5"/>
      <c r="K46" s="7"/>
      <c r="L46" s="8"/>
      <c r="M46" s="21"/>
      <c r="N46" s="82"/>
      <c r="P46" s="6"/>
      <c r="Q46" s="7"/>
      <c r="R46" s="11"/>
    </row>
    <row r="47" spans="3:18" ht="14.4">
      <c r="C47" s="24">
        <v>46057</v>
      </c>
      <c r="D47" s="84"/>
      <c r="E47" s="76" t="s">
        <v>18</v>
      </c>
      <c r="F47" s="55"/>
      <c r="G47" s="21"/>
      <c r="H47" s="99" t="s">
        <v>316</v>
      </c>
      <c r="I47" s="21"/>
      <c r="J47" s="5"/>
      <c r="K47" s="7"/>
      <c r="L47" s="8"/>
      <c r="M47" s="21"/>
      <c r="N47" s="82"/>
      <c r="P47" s="6"/>
      <c r="Q47" s="7"/>
      <c r="R47" s="11"/>
    </row>
    <row r="48" spans="3:18" ht="14.4">
      <c r="C48" s="19">
        <v>46058</v>
      </c>
      <c r="D48" s="84" t="s">
        <v>17</v>
      </c>
      <c r="E48" s="109"/>
      <c r="F48" s="55"/>
      <c r="G48" s="21"/>
      <c r="H48" s="99" t="s">
        <v>317</v>
      </c>
      <c r="I48" s="21"/>
      <c r="J48" s="5"/>
      <c r="K48" s="7"/>
      <c r="L48" s="8"/>
      <c r="M48" s="21"/>
      <c r="N48" s="82"/>
      <c r="P48" s="6"/>
      <c r="Q48" s="7"/>
      <c r="R48" s="12"/>
    </row>
    <row r="49" spans="3:18" ht="14.4">
      <c r="C49" s="24">
        <v>46059</v>
      </c>
      <c r="D49" s="84" t="s">
        <v>17</v>
      </c>
      <c r="E49" s="109"/>
      <c r="F49" s="55"/>
      <c r="G49" s="21"/>
      <c r="H49" s="99" t="s">
        <v>314</v>
      </c>
      <c r="I49" s="21"/>
      <c r="J49" s="28"/>
      <c r="K49" s="7"/>
      <c r="L49" s="8"/>
      <c r="M49" s="21"/>
      <c r="N49" s="82"/>
      <c r="P49" s="6"/>
      <c r="Q49" s="7"/>
      <c r="R49" s="12"/>
    </row>
    <row r="50" spans="3:18" ht="14.4">
      <c r="C50" s="24">
        <v>46060</v>
      </c>
      <c r="D50" s="84" t="s">
        <v>17</v>
      </c>
      <c r="E50" s="109"/>
      <c r="F50" s="107"/>
      <c r="G50" s="73"/>
      <c r="H50" s="99" t="s">
        <v>314</v>
      </c>
      <c r="I50" s="21"/>
      <c r="J50" s="28"/>
      <c r="K50" s="7"/>
      <c r="L50" s="8"/>
      <c r="M50" s="21"/>
      <c r="N50" s="82"/>
      <c r="P50" s="6"/>
      <c r="Q50" s="7"/>
      <c r="R50" s="12"/>
    </row>
    <row r="51" spans="3:18" ht="14.4">
      <c r="C51" s="19">
        <v>46061</v>
      </c>
      <c r="D51" s="84" t="s">
        <v>17</v>
      </c>
      <c r="E51" s="74"/>
      <c r="F51" s="108"/>
      <c r="G51" s="74"/>
      <c r="H51" s="99" t="s">
        <v>315</v>
      </c>
      <c r="I51" s="21"/>
      <c r="J51" s="27"/>
      <c r="K51" s="7"/>
      <c r="L51" s="8"/>
      <c r="M51" s="23"/>
      <c r="N51" s="82"/>
      <c r="P51" s="6"/>
      <c r="Q51" s="7"/>
      <c r="R51" s="12"/>
    </row>
    <row r="52" spans="3:18" ht="14.4">
      <c r="C52" s="24">
        <v>46062</v>
      </c>
      <c r="D52" s="84"/>
      <c r="E52" s="76" t="s">
        <v>18</v>
      </c>
      <c r="F52" s="104"/>
      <c r="G52" s="30"/>
      <c r="H52" s="99" t="s">
        <v>318</v>
      </c>
      <c r="I52" s="21"/>
      <c r="J52" s="28"/>
      <c r="K52" s="7"/>
      <c r="L52" s="8"/>
      <c r="M52" s="21"/>
      <c r="N52" s="82"/>
      <c r="P52" s="6"/>
      <c r="Q52" s="7"/>
      <c r="R52" s="12"/>
    </row>
    <row r="53" spans="3:18" ht="14.4">
      <c r="C53" s="19">
        <v>46063</v>
      </c>
      <c r="D53" s="84" t="s">
        <v>17</v>
      </c>
      <c r="E53" s="76"/>
      <c r="F53" s="55"/>
      <c r="G53" s="21"/>
      <c r="H53" s="99" t="s">
        <v>319</v>
      </c>
      <c r="I53" s="21"/>
      <c r="J53" s="27"/>
      <c r="K53" s="7"/>
      <c r="L53" s="8"/>
      <c r="M53" s="21"/>
      <c r="N53" s="82"/>
      <c r="P53" s="6"/>
      <c r="Q53" s="7"/>
      <c r="R53" s="12"/>
    </row>
    <row r="54" spans="3:18" ht="14.4">
      <c r="C54" s="24">
        <v>46064</v>
      </c>
      <c r="D54" s="84"/>
      <c r="E54" s="84" t="s">
        <v>17</v>
      </c>
      <c r="F54" s="55"/>
      <c r="G54" s="21"/>
      <c r="H54" s="99" t="s">
        <v>334</v>
      </c>
      <c r="I54" s="21"/>
      <c r="J54" s="28"/>
      <c r="K54" s="7"/>
      <c r="L54" s="8"/>
      <c r="M54" s="21"/>
      <c r="N54" s="82"/>
      <c r="P54" s="6"/>
      <c r="Q54" s="7"/>
      <c r="R54" s="12"/>
    </row>
    <row r="55" spans="3:18" ht="14.4">
      <c r="C55" s="19">
        <v>46065</v>
      </c>
      <c r="D55" s="15"/>
      <c r="E55" s="84" t="s">
        <v>17</v>
      </c>
      <c r="F55" s="21"/>
      <c r="G55" s="21"/>
      <c r="H55" s="99" t="s">
        <v>335</v>
      </c>
      <c r="I55" s="21"/>
      <c r="J55" s="28"/>
      <c r="K55" s="7"/>
      <c r="L55" s="8"/>
      <c r="M55" s="21"/>
      <c r="N55" s="82"/>
    </row>
    <row r="56" spans="3:18" ht="15.75" customHeight="1">
      <c r="C56" s="24">
        <v>46066</v>
      </c>
      <c r="D56" s="15"/>
      <c r="E56" s="20"/>
      <c r="F56" s="21"/>
      <c r="G56" s="21"/>
      <c r="H56" s="99" t="s">
        <v>366</v>
      </c>
      <c r="I56" s="21"/>
      <c r="J56" s="28"/>
      <c r="K56" s="7"/>
      <c r="L56" s="8"/>
      <c r="M56" s="21"/>
      <c r="N56" s="82"/>
    </row>
    <row r="57" spans="3:18" ht="15.75" customHeight="1">
      <c r="C57" s="19">
        <v>46067</v>
      </c>
      <c r="D57" s="15"/>
      <c r="E57" s="84" t="s">
        <v>17</v>
      </c>
      <c r="F57" s="21"/>
      <c r="G57" s="21"/>
      <c r="H57" s="99" t="s">
        <v>340</v>
      </c>
      <c r="I57" s="21"/>
      <c r="J57" s="28"/>
      <c r="K57" s="7"/>
      <c r="L57" s="8"/>
      <c r="M57" s="21"/>
      <c r="N57" s="82"/>
    </row>
    <row r="58" spans="3:18" ht="15.75" customHeight="1">
      <c r="C58" s="24">
        <v>46068</v>
      </c>
      <c r="D58" s="15"/>
      <c r="E58" s="76" t="s">
        <v>18</v>
      </c>
      <c r="F58" s="21"/>
      <c r="G58" s="21"/>
      <c r="H58" s="99" t="s">
        <v>343</v>
      </c>
      <c r="I58" s="21"/>
      <c r="J58" s="28"/>
      <c r="K58" s="7"/>
      <c r="L58" s="8"/>
      <c r="M58" s="21"/>
      <c r="N58" s="82"/>
    </row>
    <row r="59" spans="3:18" ht="15.75" customHeight="1">
      <c r="C59" s="19">
        <v>46069</v>
      </c>
      <c r="D59" s="15"/>
      <c r="E59" s="76" t="s">
        <v>18</v>
      </c>
      <c r="F59" s="21"/>
      <c r="G59" s="21"/>
      <c r="H59" s="99" t="s">
        <v>343</v>
      </c>
      <c r="I59" s="21"/>
      <c r="J59" s="28"/>
      <c r="K59" s="7"/>
      <c r="L59" s="8"/>
      <c r="M59" s="21"/>
      <c r="N59" s="82"/>
    </row>
    <row r="60" spans="3:18" ht="15.75" customHeight="1">
      <c r="C60" s="24">
        <v>46070</v>
      </c>
      <c r="D60" s="20"/>
      <c r="E60" s="76" t="s">
        <v>18</v>
      </c>
      <c r="F60" s="21"/>
      <c r="G60" s="21"/>
      <c r="H60" s="99" t="s">
        <v>355</v>
      </c>
      <c r="I60" s="21"/>
      <c r="J60" s="28"/>
      <c r="K60" s="7"/>
      <c r="L60" s="8"/>
      <c r="M60" s="21"/>
      <c r="N60" s="82"/>
    </row>
    <row r="61" spans="3:18" ht="15.75" customHeight="1">
      <c r="C61" s="19">
        <v>46071</v>
      </c>
      <c r="D61" s="15"/>
      <c r="E61" s="84" t="s">
        <v>17</v>
      </c>
      <c r="F61" s="21"/>
      <c r="G61" s="21"/>
      <c r="H61" s="99" t="s">
        <v>364</v>
      </c>
      <c r="I61" s="21"/>
      <c r="J61" s="27"/>
      <c r="K61" s="7"/>
      <c r="L61" s="8"/>
      <c r="M61" s="21"/>
      <c r="N61" s="82"/>
    </row>
    <row r="62" spans="3:18" ht="15.75" customHeight="1">
      <c r="C62" s="24">
        <v>46072</v>
      </c>
      <c r="D62" s="15"/>
      <c r="E62" s="84" t="s">
        <v>17</v>
      </c>
      <c r="F62" s="21"/>
      <c r="G62" s="21"/>
      <c r="H62" s="99" t="s">
        <v>365</v>
      </c>
      <c r="I62" s="21"/>
      <c r="J62" s="28"/>
      <c r="K62" s="7"/>
      <c r="L62" s="8"/>
      <c r="M62" s="21"/>
      <c r="N62" s="82"/>
    </row>
    <row r="63" spans="3:18" ht="15.75" customHeight="1">
      <c r="C63" s="19">
        <v>46073</v>
      </c>
      <c r="D63" s="15"/>
      <c r="E63" s="84" t="s">
        <v>17</v>
      </c>
      <c r="F63" s="21"/>
      <c r="G63" s="21"/>
      <c r="H63" s="83" t="s">
        <v>371</v>
      </c>
      <c r="I63" s="21"/>
      <c r="J63" s="28"/>
      <c r="K63" s="7"/>
      <c r="L63" s="8"/>
      <c r="M63" s="21"/>
      <c r="N63" s="82"/>
    </row>
    <row r="64" spans="3:18" ht="15.75" customHeight="1">
      <c r="C64" s="24">
        <v>46074</v>
      </c>
      <c r="D64" s="15"/>
      <c r="E64" s="84" t="s">
        <v>17</v>
      </c>
      <c r="F64" s="21"/>
      <c r="G64" s="21"/>
      <c r="H64" s="83" t="s">
        <v>372</v>
      </c>
      <c r="I64" s="21"/>
      <c r="J64" s="28"/>
      <c r="K64" s="7"/>
      <c r="L64" s="8"/>
      <c r="M64" s="21"/>
      <c r="N64" s="82"/>
    </row>
    <row r="65" spans="3:18" ht="15.75" customHeight="1">
      <c r="C65" s="19">
        <v>46075</v>
      </c>
      <c r="D65" s="15"/>
      <c r="E65" s="84" t="s">
        <v>17</v>
      </c>
      <c r="F65" s="21"/>
      <c r="G65" s="21"/>
      <c r="H65" s="83" t="s">
        <v>379</v>
      </c>
      <c r="I65" s="21"/>
      <c r="J65" s="28"/>
      <c r="K65" s="7"/>
      <c r="L65" s="8"/>
      <c r="M65" s="21"/>
      <c r="N65" s="21"/>
    </row>
    <row r="66" spans="3:18" ht="15.75" customHeight="1">
      <c r="C66" s="24">
        <v>46076</v>
      </c>
      <c r="D66" s="15"/>
      <c r="E66" s="84" t="s">
        <v>17</v>
      </c>
      <c r="F66" s="21"/>
      <c r="G66" s="21"/>
      <c r="H66" s="83" t="s">
        <v>385</v>
      </c>
      <c r="I66" s="21"/>
      <c r="J66" s="27"/>
      <c r="K66" s="7"/>
      <c r="L66" s="8"/>
      <c r="M66" s="21"/>
      <c r="N66" s="21"/>
    </row>
    <row r="67" spans="3:18" ht="15.75" customHeight="1">
      <c r="C67" s="19">
        <v>46077</v>
      </c>
      <c r="D67" s="15"/>
      <c r="E67" s="84" t="s">
        <v>17</v>
      </c>
      <c r="F67" s="21"/>
      <c r="G67" s="21"/>
      <c r="H67" s="83" t="s">
        <v>386</v>
      </c>
      <c r="I67" s="21"/>
      <c r="J67" s="28"/>
      <c r="K67" s="7"/>
      <c r="L67" s="8"/>
      <c r="M67" s="21"/>
      <c r="N67" s="21"/>
    </row>
    <row r="68" spans="3:18" ht="15.75" customHeight="1">
      <c r="C68" s="24">
        <v>46078</v>
      </c>
      <c r="D68" s="15"/>
      <c r="E68" s="84" t="s">
        <v>17</v>
      </c>
      <c r="F68" s="21"/>
      <c r="G68" s="21"/>
      <c r="H68" s="83" t="s">
        <v>392</v>
      </c>
      <c r="I68" s="21"/>
      <c r="J68" s="28"/>
      <c r="K68" s="7"/>
      <c r="L68" s="8"/>
      <c r="M68" s="21"/>
      <c r="N68" s="21"/>
    </row>
    <row r="69" spans="3:18" ht="15.75" customHeight="1">
      <c r="C69" s="19">
        <v>46079</v>
      </c>
      <c r="D69" s="15"/>
      <c r="E69" s="84" t="s">
        <v>17</v>
      </c>
      <c r="F69" s="21"/>
      <c r="G69" s="21"/>
      <c r="H69" s="83" t="s">
        <v>393</v>
      </c>
      <c r="I69" s="21"/>
      <c r="J69" s="28"/>
      <c r="K69" s="7"/>
      <c r="L69" s="8"/>
      <c r="M69" s="21"/>
      <c r="N69" s="21"/>
    </row>
    <row r="70" spans="3:18" ht="15.75" customHeight="1">
      <c r="C70" s="24">
        <v>46080</v>
      </c>
      <c r="D70" s="20"/>
      <c r="E70" s="84" t="s">
        <v>17</v>
      </c>
      <c r="F70" s="21"/>
      <c r="G70" s="21"/>
      <c r="H70" s="83" t="s">
        <v>400</v>
      </c>
      <c r="I70" s="21"/>
      <c r="J70" s="28"/>
      <c r="K70" s="7"/>
      <c r="L70" s="8"/>
      <c r="M70" s="21"/>
      <c r="N70" s="21"/>
    </row>
    <row r="71" spans="3:18" ht="15.75" customHeight="1">
      <c r="C71" s="19">
        <v>46081</v>
      </c>
      <c r="D71" s="25"/>
      <c r="E71" s="76" t="s">
        <v>18</v>
      </c>
      <c r="F71" s="21"/>
      <c r="G71" s="78"/>
      <c r="H71" s="83" t="s">
        <v>343</v>
      </c>
      <c r="I71" s="55"/>
      <c r="J71" s="28"/>
      <c r="K71" s="7"/>
      <c r="L71" s="8"/>
      <c r="M71" s="21"/>
      <c r="N71" s="21"/>
    </row>
    <row r="72" spans="3:18" ht="15.75" customHeight="1">
      <c r="C72" s="13"/>
      <c r="K72" s="2"/>
      <c r="L72" s="2"/>
    </row>
    <row r="73" spans="3:18" ht="21">
      <c r="C73" s="164" t="s">
        <v>417</v>
      </c>
      <c r="D73" s="165"/>
      <c r="E73" s="175"/>
      <c r="F73" s="165"/>
      <c r="G73" s="165"/>
      <c r="H73" s="165"/>
      <c r="I73" s="165"/>
      <c r="J73" s="165"/>
      <c r="K73" s="165"/>
      <c r="L73" s="165"/>
      <c r="M73" s="165"/>
      <c r="N73" s="166"/>
      <c r="P73" s="4" t="s">
        <v>1</v>
      </c>
      <c r="Q73" s="4" t="s">
        <v>2</v>
      </c>
      <c r="R73" s="4" t="s">
        <v>3</v>
      </c>
    </row>
    <row r="74" spans="3:18" ht="15.6">
      <c r="C74" s="14" t="s">
        <v>16</v>
      </c>
      <c r="D74" s="84" t="s">
        <v>17</v>
      </c>
      <c r="E74" s="76" t="s">
        <v>18</v>
      </c>
      <c r="F74" s="106" t="s">
        <v>19</v>
      </c>
      <c r="G74" s="17" t="s">
        <v>20</v>
      </c>
      <c r="H74" s="17" t="s">
        <v>21</v>
      </c>
      <c r="I74" s="17" t="s">
        <v>22</v>
      </c>
      <c r="J74" s="17" t="s">
        <v>2</v>
      </c>
      <c r="K74" s="18" t="s">
        <v>23</v>
      </c>
      <c r="L74" s="18" t="s">
        <v>24</v>
      </c>
      <c r="M74" s="17" t="s">
        <v>25</v>
      </c>
      <c r="N74" s="17" t="s">
        <v>26</v>
      </c>
      <c r="P74" s="6" t="s">
        <v>34</v>
      </c>
      <c r="Q74" s="7"/>
      <c r="R74" s="8"/>
    </row>
    <row r="75" spans="3:18" ht="14.4">
      <c r="C75" s="19">
        <v>46082</v>
      </c>
      <c r="D75" s="130"/>
      <c r="E75" s="76" t="s">
        <v>18</v>
      </c>
      <c r="F75" s="55"/>
      <c r="G75" s="21"/>
      <c r="H75" s="83" t="s">
        <v>418</v>
      </c>
      <c r="I75" s="23"/>
      <c r="J75" s="23"/>
      <c r="K75" s="23"/>
      <c r="L75" s="8"/>
      <c r="M75" s="21"/>
      <c r="N75" s="82"/>
      <c r="P75" s="6"/>
      <c r="Q75" s="7"/>
      <c r="R75" s="10"/>
    </row>
    <row r="76" spans="3:18" ht="14.4">
      <c r="C76" s="19">
        <v>46083</v>
      </c>
      <c r="D76" s="130"/>
      <c r="E76" s="76" t="s">
        <v>17</v>
      </c>
      <c r="F76" s="55"/>
      <c r="G76" s="26"/>
      <c r="H76" s="83" t="s">
        <v>419</v>
      </c>
      <c r="I76" s="21"/>
      <c r="J76" s="27"/>
      <c r="K76" s="7"/>
      <c r="L76" s="8"/>
      <c r="M76" s="21"/>
      <c r="N76" s="82"/>
      <c r="P76" s="6"/>
      <c r="Q76" s="7"/>
      <c r="R76" s="10"/>
    </row>
    <row r="77" spans="3:18" ht="14.4">
      <c r="C77" s="19">
        <v>46084</v>
      </c>
      <c r="D77" s="130"/>
      <c r="E77" s="76" t="s">
        <v>17</v>
      </c>
      <c r="F77" s="55"/>
      <c r="G77" s="21"/>
      <c r="H77" s="83" t="s">
        <v>425</v>
      </c>
      <c r="I77" s="21"/>
      <c r="J77" s="5"/>
      <c r="K77" s="7"/>
      <c r="L77" s="8"/>
      <c r="M77" s="21"/>
      <c r="N77" s="82"/>
      <c r="P77" s="6"/>
      <c r="Q77" s="7"/>
      <c r="R77" s="11"/>
    </row>
    <row r="78" spans="3:18" ht="14.4">
      <c r="C78" s="19">
        <v>46085</v>
      </c>
      <c r="D78" s="130"/>
      <c r="E78" s="76" t="s">
        <v>17</v>
      </c>
      <c r="F78" s="55"/>
      <c r="G78" s="21"/>
      <c r="H78" s="83" t="s">
        <v>428</v>
      </c>
      <c r="I78" s="21"/>
      <c r="J78" s="5"/>
      <c r="K78" s="7"/>
      <c r="L78" s="8"/>
      <c r="M78" s="21"/>
      <c r="N78" s="82"/>
      <c r="P78" s="6"/>
      <c r="Q78" s="7"/>
      <c r="R78" s="11"/>
    </row>
    <row r="79" spans="3:18" ht="14.4">
      <c r="C79" s="19">
        <v>46086</v>
      </c>
      <c r="D79" s="130"/>
      <c r="E79" s="76" t="s">
        <v>17</v>
      </c>
      <c r="F79" s="55"/>
      <c r="G79" s="21"/>
      <c r="H79" s="83" t="s">
        <v>434</v>
      </c>
      <c r="I79" s="21"/>
      <c r="J79" s="5"/>
      <c r="K79" s="7"/>
      <c r="L79" s="8"/>
      <c r="M79" s="21"/>
      <c r="N79" s="82"/>
      <c r="P79" s="6"/>
      <c r="Q79" s="7"/>
      <c r="R79" s="12"/>
    </row>
    <row r="80" spans="3:18" ht="14.4">
      <c r="C80" s="19">
        <v>46087</v>
      </c>
      <c r="D80" s="130"/>
      <c r="E80" s="76" t="s">
        <v>17</v>
      </c>
      <c r="F80" s="55"/>
      <c r="G80" s="21"/>
      <c r="H80" s="83" t="s">
        <v>442</v>
      </c>
      <c r="I80" s="21"/>
      <c r="J80" s="28"/>
      <c r="K80" s="7"/>
      <c r="L80" s="8"/>
      <c r="M80" s="21"/>
      <c r="N80" s="82"/>
      <c r="P80" s="6"/>
      <c r="Q80" s="7"/>
      <c r="R80" s="12"/>
    </row>
    <row r="81" spans="3:18" ht="14.4">
      <c r="C81" s="19">
        <v>46088</v>
      </c>
      <c r="D81" s="130"/>
      <c r="E81" s="76" t="s">
        <v>17</v>
      </c>
      <c r="F81" s="107"/>
      <c r="G81" s="73"/>
      <c r="H81" s="83" t="s">
        <v>455</v>
      </c>
      <c r="I81" s="21"/>
      <c r="J81" s="28"/>
      <c r="K81" s="7"/>
      <c r="L81" s="8"/>
      <c r="M81" s="21"/>
      <c r="N81" s="82"/>
      <c r="P81" s="6"/>
      <c r="Q81" s="7"/>
      <c r="R81" s="12"/>
    </row>
    <row r="82" spans="3:18" ht="14.4">
      <c r="C82" s="19">
        <v>46089</v>
      </c>
      <c r="D82" s="130"/>
      <c r="E82" s="76" t="s">
        <v>17</v>
      </c>
      <c r="F82" s="108"/>
      <c r="G82" s="74"/>
      <c r="H82" s="83" t="s">
        <v>456</v>
      </c>
      <c r="I82" s="21"/>
      <c r="J82" s="27"/>
      <c r="K82" s="7"/>
      <c r="L82" s="8"/>
      <c r="M82" s="23"/>
      <c r="N82" s="82"/>
      <c r="P82" s="6"/>
      <c r="Q82" s="7"/>
      <c r="R82" s="12"/>
    </row>
    <row r="83" spans="3:18" ht="14.4">
      <c r="C83" s="19">
        <v>46090</v>
      </c>
      <c r="D83" s="130"/>
      <c r="E83" s="76" t="s">
        <v>17</v>
      </c>
      <c r="F83" s="104"/>
      <c r="G83" s="30"/>
      <c r="H83" s="83" t="s">
        <v>456</v>
      </c>
      <c r="I83" s="21"/>
      <c r="J83" s="28"/>
      <c r="K83" s="7"/>
      <c r="L83" s="8"/>
      <c r="M83" s="21"/>
      <c r="N83" s="82"/>
      <c r="P83" s="6"/>
      <c r="Q83" s="7"/>
      <c r="R83" s="12"/>
    </row>
    <row r="84" spans="3:18" ht="14.4">
      <c r="C84" s="19">
        <v>46091</v>
      </c>
      <c r="D84" s="130"/>
      <c r="E84" s="76" t="s">
        <v>17</v>
      </c>
      <c r="F84" s="55"/>
      <c r="G84" s="21"/>
      <c r="H84" s="83" t="s">
        <v>457</v>
      </c>
      <c r="I84" s="21"/>
      <c r="J84" s="27"/>
      <c r="K84" s="7"/>
      <c r="L84" s="8"/>
      <c r="M84" s="21"/>
      <c r="N84" s="82"/>
      <c r="P84" s="6"/>
      <c r="Q84" s="7"/>
      <c r="R84" s="12"/>
    </row>
    <row r="85" spans="3:18" ht="14.4">
      <c r="C85" s="19">
        <v>46092</v>
      </c>
      <c r="D85" s="130"/>
      <c r="E85" s="76" t="s">
        <v>17</v>
      </c>
      <c r="F85" s="55"/>
      <c r="G85" s="21"/>
      <c r="H85" s="83" t="s">
        <v>464</v>
      </c>
      <c r="I85" s="21"/>
      <c r="J85" s="28"/>
      <c r="K85" s="7"/>
      <c r="L85" s="8"/>
      <c r="M85" s="21"/>
      <c r="N85" s="82"/>
      <c r="P85" s="6"/>
      <c r="Q85" s="7"/>
      <c r="R85" s="12"/>
    </row>
    <row r="86" spans="3:18" ht="14.4">
      <c r="C86" s="19">
        <v>46093</v>
      </c>
      <c r="D86" s="127"/>
      <c r="E86" s="76" t="s">
        <v>17</v>
      </c>
      <c r="F86" s="21"/>
      <c r="G86" s="21"/>
      <c r="H86" s="83" t="s">
        <v>469</v>
      </c>
      <c r="I86" s="21"/>
      <c r="J86" s="28"/>
      <c r="K86" s="7"/>
      <c r="L86" s="8"/>
      <c r="M86" s="21"/>
      <c r="N86" s="82"/>
    </row>
    <row r="87" spans="3:18" ht="15.75" customHeight="1">
      <c r="C87" s="19">
        <v>46094</v>
      </c>
      <c r="D87" s="127"/>
      <c r="E87" s="76" t="s">
        <v>17</v>
      </c>
      <c r="F87" s="21"/>
      <c r="G87" s="21"/>
      <c r="H87" s="83" t="s">
        <v>489</v>
      </c>
      <c r="I87" s="21"/>
      <c r="J87" s="28"/>
      <c r="K87" s="7"/>
      <c r="L87" s="8"/>
      <c r="M87" s="21"/>
      <c r="N87" s="82"/>
    </row>
    <row r="88" spans="3:18" ht="15.75" customHeight="1">
      <c r="C88" s="19">
        <v>46095</v>
      </c>
      <c r="D88" s="127"/>
      <c r="E88" s="76" t="s">
        <v>17</v>
      </c>
      <c r="F88" s="21"/>
      <c r="G88" s="21"/>
      <c r="H88" s="83" t="s">
        <v>490</v>
      </c>
      <c r="I88" s="21"/>
      <c r="J88" s="28"/>
      <c r="K88" s="7"/>
      <c r="L88" s="8"/>
      <c r="M88" s="21"/>
      <c r="N88" s="82"/>
    </row>
    <row r="89" spans="3:18" ht="15.75" customHeight="1">
      <c r="C89" s="19">
        <v>46096</v>
      </c>
      <c r="D89" s="127"/>
      <c r="E89" s="76" t="s">
        <v>17</v>
      </c>
      <c r="F89" s="21"/>
      <c r="G89" s="21"/>
      <c r="H89" s="83" t="s">
        <v>491</v>
      </c>
      <c r="I89" s="21"/>
      <c r="J89" s="28"/>
      <c r="K89" s="7"/>
      <c r="L89" s="8"/>
      <c r="M89" s="21"/>
      <c r="N89" s="82"/>
    </row>
    <row r="90" spans="3:18" ht="15.75" customHeight="1">
      <c r="C90" s="19">
        <v>46097</v>
      </c>
      <c r="D90" s="127"/>
      <c r="E90" s="76" t="s">
        <v>17</v>
      </c>
      <c r="F90" s="21"/>
      <c r="G90" s="21"/>
      <c r="H90" s="83" t="s">
        <v>492</v>
      </c>
      <c r="I90" s="21"/>
      <c r="J90" s="28"/>
      <c r="K90" s="7"/>
      <c r="L90" s="8"/>
      <c r="M90" s="21"/>
      <c r="N90" s="82"/>
    </row>
    <row r="91" spans="3:18" ht="15.75" customHeight="1">
      <c r="C91" s="19">
        <v>46098</v>
      </c>
      <c r="D91" s="128"/>
      <c r="E91" s="76" t="s">
        <v>17</v>
      </c>
      <c r="F91" s="21"/>
      <c r="G91" s="21"/>
      <c r="H91" s="83" t="s">
        <v>496</v>
      </c>
      <c r="I91" s="21"/>
      <c r="J91" s="28"/>
      <c r="K91" s="7"/>
      <c r="L91" s="8"/>
      <c r="M91" s="21"/>
      <c r="N91" s="82"/>
    </row>
    <row r="92" spans="3:18" ht="15.75" customHeight="1">
      <c r="C92" s="19">
        <v>46099</v>
      </c>
      <c r="D92" s="127"/>
      <c r="E92" s="76" t="s">
        <v>18</v>
      </c>
      <c r="F92" s="21"/>
      <c r="G92" s="21"/>
      <c r="H92" s="83" t="s">
        <v>512</v>
      </c>
      <c r="I92" s="21"/>
      <c r="J92" s="27"/>
      <c r="K92" s="7"/>
      <c r="L92" s="8"/>
      <c r="M92" s="21"/>
      <c r="N92" s="82"/>
    </row>
    <row r="93" spans="3:18" ht="15.75" customHeight="1">
      <c r="C93" s="19">
        <v>46100</v>
      </c>
      <c r="D93" s="127"/>
      <c r="E93" s="76" t="s">
        <v>17</v>
      </c>
      <c r="F93" s="21"/>
      <c r="G93" s="21"/>
      <c r="H93" s="83" t="s">
        <v>513</v>
      </c>
      <c r="I93" s="21"/>
      <c r="J93" s="28"/>
      <c r="K93" s="7"/>
      <c r="L93" s="8"/>
      <c r="M93" s="21"/>
      <c r="N93" s="82"/>
    </row>
    <row r="94" spans="3:18" ht="15.75" customHeight="1">
      <c r="C94" s="19">
        <v>46101</v>
      </c>
      <c r="D94" s="127"/>
      <c r="E94" s="76" t="s">
        <v>17</v>
      </c>
      <c r="F94" s="21"/>
      <c r="G94" s="21"/>
      <c r="H94" s="83" t="s">
        <v>523</v>
      </c>
      <c r="I94" s="21"/>
      <c r="J94" s="28"/>
      <c r="K94" s="7"/>
      <c r="L94" s="8"/>
      <c r="M94" s="21"/>
      <c r="N94" s="82"/>
    </row>
    <row r="95" spans="3:18" ht="15.75" customHeight="1">
      <c r="C95" s="19">
        <v>46102</v>
      </c>
      <c r="D95" s="127"/>
      <c r="E95" s="76" t="s">
        <v>17</v>
      </c>
      <c r="F95" s="21"/>
      <c r="G95" s="21"/>
      <c r="H95" s="83" t="s">
        <v>538</v>
      </c>
      <c r="I95" s="21"/>
      <c r="J95" s="28"/>
      <c r="K95" s="7"/>
      <c r="L95" s="8"/>
      <c r="M95" s="21"/>
      <c r="N95" s="82"/>
    </row>
    <row r="96" spans="3:18" ht="15.75" customHeight="1">
      <c r="C96" s="19">
        <v>46103</v>
      </c>
      <c r="D96" s="127"/>
      <c r="E96" s="76" t="s">
        <v>17</v>
      </c>
      <c r="F96" s="21"/>
      <c r="G96" s="21"/>
      <c r="H96" s="83" t="s">
        <v>539</v>
      </c>
      <c r="I96" s="21"/>
      <c r="J96" s="28"/>
      <c r="K96" s="7"/>
      <c r="L96" s="8"/>
      <c r="M96" s="21"/>
      <c r="N96" s="21"/>
    </row>
    <row r="97" spans="3:14" ht="15.75" customHeight="1">
      <c r="C97" s="19">
        <v>46104</v>
      </c>
      <c r="D97" s="127"/>
      <c r="E97" s="76" t="s">
        <v>17</v>
      </c>
      <c r="F97" s="21"/>
      <c r="G97" s="21"/>
      <c r="H97" s="83" t="s">
        <v>540</v>
      </c>
      <c r="I97" s="21"/>
      <c r="J97" s="27"/>
      <c r="K97" s="7"/>
      <c r="L97" s="8"/>
      <c r="M97" s="21"/>
      <c r="N97" s="21"/>
    </row>
    <row r="98" spans="3:14" ht="15.75" customHeight="1">
      <c r="C98" s="19">
        <v>46105</v>
      </c>
      <c r="D98" s="127"/>
      <c r="E98" s="76" t="s">
        <v>18</v>
      </c>
      <c r="F98" s="21"/>
      <c r="G98" s="21"/>
      <c r="H98" s="83" t="s">
        <v>541</v>
      </c>
      <c r="I98" s="21"/>
      <c r="J98" s="28"/>
      <c r="K98" s="7"/>
      <c r="L98" s="8"/>
      <c r="M98" s="21"/>
      <c r="N98" s="21"/>
    </row>
    <row r="99" spans="3:14" ht="15.75" customHeight="1">
      <c r="C99" s="19">
        <v>46106</v>
      </c>
      <c r="D99" s="127"/>
      <c r="E99" s="76" t="s">
        <v>17</v>
      </c>
      <c r="F99" s="21"/>
      <c r="G99" s="21"/>
      <c r="H99" s="83" t="s">
        <v>542</v>
      </c>
      <c r="I99" s="21"/>
      <c r="J99" s="28"/>
      <c r="K99" s="7"/>
      <c r="L99" s="8"/>
      <c r="M99" s="21"/>
      <c r="N99" s="21"/>
    </row>
    <row r="100" spans="3:14" ht="15.75" customHeight="1">
      <c r="C100" s="19">
        <v>46107</v>
      </c>
      <c r="D100" s="127"/>
      <c r="E100" s="76" t="s">
        <v>17</v>
      </c>
      <c r="F100" s="21"/>
      <c r="G100" s="21"/>
      <c r="H100" s="83" t="s">
        <v>550</v>
      </c>
      <c r="I100" s="21"/>
      <c r="J100" s="28"/>
      <c r="K100" s="7"/>
      <c r="L100" s="8"/>
      <c r="M100" s="21"/>
      <c r="N100" s="21"/>
    </row>
    <row r="101" spans="3:14" ht="15.75" customHeight="1">
      <c r="C101" s="19">
        <v>46108</v>
      </c>
      <c r="D101" s="127"/>
      <c r="E101" s="76" t="s">
        <v>18</v>
      </c>
      <c r="F101" s="21"/>
      <c r="G101" s="21"/>
      <c r="H101" s="83" t="s">
        <v>558</v>
      </c>
      <c r="I101" s="21"/>
      <c r="J101" s="28"/>
      <c r="K101" s="7"/>
      <c r="L101" s="8"/>
      <c r="M101" s="21"/>
      <c r="N101" s="21"/>
    </row>
    <row r="102" spans="3:14" ht="15.75" customHeight="1">
      <c r="C102" s="19">
        <v>46109</v>
      </c>
      <c r="D102" s="127"/>
      <c r="E102" s="76" t="s">
        <v>17</v>
      </c>
      <c r="F102" s="21"/>
      <c r="G102" s="21"/>
      <c r="H102" s="83" t="s">
        <v>550</v>
      </c>
      <c r="I102" s="21"/>
      <c r="J102" s="28"/>
      <c r="K102" s="7"/>
      <c r="L102" s="8"/>
      <c r="M102" s="21"/>
      <c r="N102" s="21"/>
    </row>
    <row r="103" spans="3:14" ht="15.75" customHeight="1">
      <c r="C103" s="19">
        <v>46110</v>
      </c>
      <c r="D103" s="127"/>
      <c r="E103" s="76" t="s">
        <v>18</v>
      </c>
      <c r="F103" s="21"/>
      <c r="G103" s="21"/>
      <c r="H103" s="83" t="s">
        <v>558</v>
      </c>
      <c r="I103" s="21"/>
      <c r="J103" s="28"/>
      <c r="K103" s="7"/>
      <c r="L103" s="8"/>
      <c r="M103" s="21"/>
      <c r="N103" s="21"/>
    </row>
    <row r="104" spans="3:14" ht="15.75" customHeight="1">
      <c r="C104" s="19">
        <v>46111</v>
      </c>
      <c r="D104" s="128"/>
      <c r="E104" s="76" t="s">
        <v>18</v>
      </c>
      <c r="F104" s="21"/>
      <c r="G104" s="21"/>
      <c r="H104" s="83" t="s">
        <v>558</v>
      </c>
      <c r="I104" s="21"/>
      <c r="J104" s="28"/>
      <c r="K104" s="7"/>
      <c r="L104" s="8"/>
      <c r="M104" s="21"/>
      <c r="N104" s="21"/>
    </row>
    <row r="105" spans="3:14" ht="15.75" customHeight="1">
      <c r="C105" s="19">
        <v>46112</v>
      </c>
      <c r="D105" s="129"/>
      <c r="E105" s="76" t="s">
        <v>18</v>
      </c>
      <c r="F105" s="21"/>
      <c r="G105" s="78"/>
      <c r="H105" s="83" t="s">
        <v>558</v>
      </c>
      <c r="I105" s="55"/>
      <c r="J105" s="28"/>
      <c r="K105" s="7"/>
      <c r="L105" s="8"/>
      <c r="M105" s="21"/>
      <c r="N105" s="21"/>
    </row>
    <row r="106" spans="3:14" ht="15.75" customHeight="1">
      <c r="C106" s="19">
        <v>46113</v>
      </c>
      <c r="E106" s="76" t="s">
        <v>17</v>
      </c>
      <c r="H106" s="83" t="s">
        <v>550</v>
      </c>
      <c r="K106" s="2"/>
      <c r="L106" s="2"/>
    </row>
    <row r="107" spans="3:14" ht="15.75" customHeight="1">
      <c r="C107" s="19">
        <v>46114</v>
      </c>
      <c r="E107" s="76" t="s">
        <v>17</v>
      </c>
      <c r="H107" s="83" t="s">
        <v>550</v>
      </c>
      <c r="K107" s="2"/>
      <c r="L107" s="2"/>
    </row>
    <row r="108" spans="3:14" ht="15.75" customHeight="1">
      <c r="C108" s="19">
        <v>46115</v>
      </c>
      <c r="E108" s="76" t="s">
        <v>17</v>
      </c>
      <c r="H108" s="83" t="s">
        <v>550</v>
      </c>
      <c r="K108" s="2"/>
      <c r="L108" s="2"/>
    </row>
    <row r="109" spans="3:14" ht="15.75" customHeight="1">
      <c r="C109" s="19">
        <v>46116</v>
      </c>
      <c r="E109" s="76" t="s">
        <v>18</v>
      </c>
      <c r="H109" s="83" t="s">
        <v>558</v>
      </c>
      <c r="K109" s="2"/>
      <c r="L109" s="2"/>
    </row>
    <row r="110" spans="3:14" ht="15.75" customHeight="1">
      <c r="C110" s="19">
        <v>46117</v>
      </c>
      <c r="E110" s="76" t="s">
        <v>18</v>
      </c>
      <c r="H110" s="83" t="s">
        <v>558</v>
      </c>
      <c r="K110" s="2"/>
      <c r="L110" s="2"/>
    </row>
    <row r="111" spans="3:14" ht="15.75" customHeight="1">
      <c r="C111" s="19">
        <v>46118</v>
      </c>
      <c r="E111" s="76" t="s">
        <v>17</v>
      </c>
      <c r="H111" s="83" t="s">
        <v>550</v>
      </c>
      <c r="K111" s="2"/>
      <c r="L111" s="2"/>
    </row>
    <row r="112" spans="3:14" ht="15.75" customHeight="1">
      <c r="C112" s="19">
        <v>46119</v>
      </c>
      <c r="E112" s="76" t="s">
        <v>17</v>
      </c>
      <c r="H112" s="83" t="s">
        <v>550</v>
      </c>
      <c r="K112" s="2"/>
      <c r="L112" s="2"/>
    </row>
    <row r="113" spans="3:12" ht="15.75" customHeight="1">
      <c r="C113" s="19">
        <v>46120</v>
      </c>
      <c r="E113" s="76" t="s">
        <v>18</v>
      </c>
      <c r="H113" s="83" t="s">
        <v>558</v>
      </c>
      <c r="K113" s="2"/>
      <c r="L113" s="2"/>
    </row>
    <row r="114" spans="3:12" ht="15.75" customHeight="1">
      <c r="C114" s="19">
        <v>46121</v>
      </c>
      <c r="E114" s="76" t="s">
        <v>18</v>
      </c>
      <c r="H114" s="83" t="s">
        <v>558</v>
      </c>
      <c r="K114" s="2"/>
      <c r="L114" s="2"/>
    </row>
    <row r="115" spans="3:12" ht="15.75" customHeight="1">
      <c r="C115" s="19">
        <v>46122</v>
      </c>
      <c r="E115" s="76" t="s">
        <v>18</v>
      </c>
      <c r="H115" s="83" t="s">
        <v>558</v>
      </c>
      <c r="K115" s="2"/>
      <c r="L115" s="2"/>
    </row>
    <row r="116" spans="3:12" ht="15.75" customHeight="1">
      <c r="C116" s="19">
        <v>46123</v>
      </c>
      <c r="E116" s="76" t="s">
        <v>18</v>
      </c>
      <c r="H116" s="83" t="s">
        <v>558</v>
      </c>
      <c r="K116" s="2"/>
      <c r="L116" s="2"/>
    </row>
    <row r="117" spans="3:12" ht="15.75" customHeight="1">
      <c r="C117" s="19">
        <v>46124</v>
      </c>
      <c r="E117" s="76" t="s">
        <v>17</v>
      </c>
      <c r="H117" s="83" t="s">
        <v>550</v>
      </c>
      <c r="K117" s="2"/>
      <c r="L117" s="2"/>
    </row>
    <row r="118" spans="3:12" ht="15.75" customHeight="1">
      <c r="C118" s="19">
        <v>46125</v>
      </c>
      <c r="E118" s="76" t="s">
        <v>18</v>
      </c>
      <c r="H118" s="83" t="s">
        <v>558</v>
      </c>
      <c r="K118" s="2"/>
      <c r="L118" s="2"/>
    </row>
    <row r="119" spans="3:12" ht="15.75" customHeight="1">
      <c r="C119" s="19">
        <v>46126</v>
      </c>
      <c r="E119" s="76" t="s">
        <v>18</v>
      </c>
      <c r="H119" s="83" t="s">
        <v>558</v>
      </c>
      <c r="K119" s="2"/>
      <c r="L119" s="2"/>
    </row>
    <row r="120" spans="3:12" ht="15.75" customHeight="1">
      <c r="C120" s="19">
        <v>46127</v>
      </c>
      <c r="E120" s="76" t="s">
        <v>18</v>
      </c>
      <c r="H120" s="83" t="s">
        <v>558</v>
      </c>
      <c r="K120" s="2"/>
      <c r="L120" s="2"/>
    </row>
    <row r="121" spans="3:12" ht="15.75" customHeight="1">
      <c r="C121" s="19">
        <v>46128</v>
      </c>
      <c r="E121" s="76" t="s">
        <v>18</v>
      </c>
      <c r="H121" s="83" t="s">
        <v>558</v>
      </c>
      <c r="K121" s="2"/>
      <c r="L121" s="2"/>
    </row>
    <row r="122" spans="3:12" ht="15.75" customHeight="1">
      <c r="C122" s="19">
        <v>46129</v>
      </c>
      <c r="E122" s="76" t="s">
        <v>17</v>
      </c>
      <c r="H122" s="83" t="s">
        <v>550</v>
      </c>
      <c r="K122" s="2"/>
      <c r="L122" s="2"/>
    </row>
    <row r="123" spans="3:12" ht="15.75" customHeight="1">
      <c r="C123" s="19">
        <v>46130</v>
      </c>
      <c r="E123" s="76" t="s">
        <v>17</v>
      </c>
      <c r="H123" s="83" t="s">
        <v>550</v>
      </c>
      <c r="K123" s="2"/>
      <c r="L123" s="2"/>
    </row>
    <row r="124" spans="3:12" ht="15.75" customHeight="1">
      <c r="C124" s="19">
        <v>46131</v>
      </c>
      <c r="E124" s="76" t="s">
        <v>17</v>
      </c>
      <c r="H124" s="83" t="s">
        <v>550</v>
      </c>
      <c r="K124" s="2"/>
      <c r="L124" s="2"/>
    </row>
    <row r="125" spans="3:12" ht="15.75" customHeight="1">
      <c r="C125" s="19">
        <v>46132</v>
      </c>
      <c r="E125" s="76" t="s">
        <v>17</v>
      </c>
      <c r="H125" s="83" t="s">
        <v>550</v>
      </c>
      <c r="K125" s="2"/>
      <c r="L125" s="2"/>
    </row>
    <row r="126" spans="3:12" ht="15.75" customHeight="1">
      <c r="C126" s="19">
        <v>46133</v>
      </c>
      <c r="E126" s="76" t="s">
        <v>17</v>
      </c>
      <c r="H126" s="83" t="s">
        <v>550</v>
      </c>
      <c r="K126" s="2"/>
      <c r="L126" s="2"/>
    </row>
    <row r="127" spans="3:12" ht="15.75" customHeight="1">
      <c r="C127" s="19">
        <v>46134</v>
      </c>
      <c r="E127" s="76" t="s">
        <v>18</v>
      </c>
      <c r="H127" s="83" t="s">
        <v>558</v>
      </c>
      <c r="K127" s="2"/>
      <c r="L127" s="2"/>
    </row>
    <row r="128" spans="3:12" ht="15.75" customHeight="1">
      <c r="C128" s="19">
        <v>46135</v>
      </c>
      <c r="E128" s="76" t="s">
        <v>17</v>
      </c>
      <c r="H128" s="83" t="s">
        <v>550</v>
      </c>
      <c r="K128" s="2"/>
      <c r="L128" s="2"/>
    </row>
    <row r="129" spans="3:12" ht="15.75" customHeight="1">
      <c r="C129" s="19">
        <v>46136</v>
      </c>
      <c r="E129" s="76" t="s">
        <v>17</v>
      </c>
      <c r="H129" s="83" t="s">
        <v>550</v>
      </c>
      <c r="K129" s="2"/>
      <c r="L129" s="2"/>
    </row>
    <row r="130" spans="3:12" ht="15.75" customHeight="1">
      <c r="C130" s="19">
        <v>46137</v>
      </c>
      <c r="E130" s="76" t="s">
        <v>17</v>
      </c>
      <c r="H130" s="83" t="s">
        <v>550</v>
      </c>
      <c r="K130" s="2"/>
      <c r="L130" s="2"/>
    </row>
    <row r="131" spans="3:12" ht="15.75" customHeight="1">
      <c r="C131" s="19">
        <v>46138</v>
      </c>
      <c r="E131" s="76" t="s">
        <v>17</v>
      </c>
      <c r="H131" s="83" t="s">
        <v>550</v>
      </c>
      <c r="K131" s="2"/>
      <c r="L131" s="2"/>
    </row>
    <row r="132" spans="3:12" ht="15.75" customHeight="1">
      <c r="C132" s="19"/>
      <c r="K132" s="2"/>
      <c r="L132" s="2"/>
    </row>
    <row r="133" spans="3:12" ht="15.75" customHeight="1">
      <c r="C133" s="13"/>
      <c r="K133" s="2"/>
      <c r="L133" s="2"/>
    </row>
    <row r="134" spans="3:12" ht="15.75" customHeight="1">
      <c r="C134" s="13"/>
      <c r="K134" s="2"/>
      <c r="L134" s="2"/>
    </row>
    <row r="135" spans="3:12" ht="15.75" customHeight="1">
      <c r="C135" s="13"/>
      <c r="K135" s="2"/>
      <c r="L135" s="2"/>
    </row>
    <row r="136" spans="3:12" ht="15.75" customHeight="1">
      <c r="C136" s="13"/>
      <c r="K136" s="2"/>
      <c r="L136" s="2"/>
    </row>
    <row r="137" spans="3:12" ht="15.75" customHeight="1">
      <c r="C137" s="13"/>
      <c r="K137" s="2"/>
      <c r="L137" s="2"/>
    </row>
    <row r="138" spans="3:12" ht="15.75" customHeight="1">
      <c r="C138" s="13"/>
      <c r="K138" s="2"/>
      <c r="L138" s="2"/>
    </row>
    <row r="139" spans="3:12" ht="15.75" customHeight="1">
      <c r="C139" s="13"/>
      <c r="K139" s="2"/>
      <c r="L139" s="2"/>
    </row>
    <row r="140" spans="3:12" ht="15.75" customHeight="1">
      <c r="C140" s="13"/>
      <c r="K140" s="2"/>
      <c r="L140" s="2"/>
    </row>
    <row r="141" spans="3:12" ht="15.75" customHeight="1">
      <c r="C141" s="13"/>
      <c r="K141" s="2"/>
      <c r="L141" s="2"/>
    </row>
    <row r="142" spans="3:12" ht="15.75" customHeight="1">
      <c r="C142" s="13"/>
      <c r="K142" s="2"/>
      <c r="L142" s="2"/>
    </row>
    <row r="143" spans="3:12" ht="15.75" customHeight="1">
      <c r="C143" s="13"/>
      <c r="K143" s="2"/>
      <c r="L143" s="2"/>
    </row>
    <row r="144" spans="3:12" ht="15.75" customHeight="1">
      <c r="C144" s="13"/>
      <c r="K144" s="2"/>
      <c r="L144" s="2"/>
    </row>
    <row r="145" spans="3:12" ht="15.75" customHeight="1">
      <c r="C145" s="13"/>
      <c r="K145" s="2"/>
      <c r="L145" s="2"/>
    </row>
    <row r="146" spans="3:12" ht="15.75" customHeight="1">
      <c r="C146" s="13"/>
      <c r="K146" s="2"/>
      <c r="L146" s="2"/>
    </row>
    <row r="147" spans="3:12" ht="15.75" customHeight="1">
      <c r="C147" s="13"/>
      <c r="K147" s="2"/>
      <c r="L147" s="2"/>
    </row>
    <row r="148" spans="3:12" ht="15.75" customHeight="1">
      <c r="C148" s="13"/>
      <c r="K148" s="2"/>
      <c r="L148" s="2"/>
    </row>
    <row r="149" spans="3:12" ht="15.75" customHeight="1">
      <c r="C149" s="13"/>
      <c r="K149" s="2"/>
      <c r="L149" s="2"/>
    </row>
    <row r="150" spans="3:12" ht="15.75" customHeight="1">
      <c r="C150" s="13"/>
      <c r="K150" s="2"/>
      <c r="L150" s="2"/>
    </row>
    <row r="151" spans="3:12" ht="15.75" customHeight="1">
      <c r="C151" s="13"/>
      <c r="K151" s="2"/>
      <c r="L151" s="2"/>
    </row>
    <row r="152" spans="3:12" ht="15.75" customHeight="1">
      <c r="C152" s="13"/>
      <c r="K152" s="2"/>
      <c r="L152" s="2"/>
    </row>
    <row r="153" spans="3:12" ht="15.75" customHeight="1">
      <c r="C153" s="13"/>
      <c r="K153" s="2"/>
      <c r="L153" s="2"/>
    </row>
    <row r="154" spans="3:12" ht="15.75" customHeight="1">
      <c r="C154" s="13"/>
      <c r="K154" s="2"/>
      <c r="L154" s="2"/>
    </row>
    <row r="155" spans="3:12" ht="15.75" customHeight="1">
      <c r="C155" s="13"/>
      <c r="K155" s="2"/>
      <c r="L155" s="2"/>
    </row>
    <row r="156" spans="3:12" ht="15.75" customHeight="1">
      <c r="C156" s="13"/>
      <c r="K156" s="2"/>
      <c r="L156" s="2"/>
    </row>
    <row r="157" spans="3:12" ht="15.75" customHeight="1">
      <c r="C157" s="13"/>
      <c r="K157" s="2"/>
      <c r="L157" s="2"/>
    </row>
    <row r="158" spans="3:12" ht="15.75" customHeight="1">
      <c r="C158" s="13"/>
      <c r="K158" s="2"/>
      <c r="L158" s="2"/>
    </row>
    <row r="159" spans="3:12" ht="15.75" customHeight="1">
      <c r="C159" s="13"/>
      <c r="K159" s="2"/>
      <c r="L159" s="2"/>
    </row>
    <row r="160" spans="3:12" ht="15.75" customHeight="1">
      <c r="C160" s="13"/>
      <c r="K160" s="2"/>
      <c r="L160" s="2"/>
    </row>
    <row r="161" spans="3:12" ht="15.75" customHeight="1">
      <c r="C161" s="13"/>
      <c r="K161" s="2"/>
      <c r="L161" s="2"/>
    </row>
    <row r="162" spans="3:12" ht="15.75" customHeight="1">
      <c r="C162" s="13"/>
      <c r="K162" s="2"/>
      <c r="L162" s="2"/>
    </row>
    <row r="163" spans="3:12" ht="15.75" customHeight="1">
      <c r="C163" s="13"/>
      <c r="K163" s="2"/>
      <c r="L163" s="2"/>
    </row>
    <row r="164" spans="3:12" ht="15.75" customHeight="1">
      <c r="C164" s="13"/>
      <c r="K164" s="2"/>
      <c r="L164" s="2"/>
    </row>
    <row r="165" spans="3:12" ht="15.75" customHeight="1">
      <c r="C165" s="13"/>
      <c r="K165" s="2"/>
      <c r="L165" s="2"/>
    </row>
    <row r="166" spans="3:12" ht="15.75" customHeight="1">
      <c r="C166" s="13"/>
      <c r="K166" s="2"/>
      <c r="L166" s="2"/>
    </row>
    <row r="167" spans="3:12" ht="15.75" customHeight="1">
      <c r="C167" s="13"/>
      <c r="K167" s="2"/>
      <c r="L167" s="2"/>
    </row>
    <row r="168" spans="3:12" ht="15.75" customHeight="1">
      <c r="C168" s="13"/>
      <c r="K168" s="2"/>
      <c r="L168" s="2"/>
    </row>
    <row r="169" spans="3:12" ht="15.75" customHeight="1">
      <c r="C169" s="13"/>
      <c r="K169" s="2"/>
      <c r="L169" s="2"/>
    </row>
    <row r="170" spans="3:12" ht="15.75" customHeight="1">
      <c r="C170" s="13"/>
      <c r="K170" s="2"/>
      <c r="L170" s="2"/>
    </row>
    <row r="171" spans="3:12" ht="15.75" customHeight="1">
      <c r="C171" s="13"/>
      <c r="K171" s="2"/>
      <c r="L171" s="2"/>
    </row>
    <row r="172" spans="3:12" ht="15.75" customHeight="1">
      <c r="C172" s="13"/>
      <c r="K172" s="2"/>
      <c r="L172" s="2"/>
    </row>
    <row r="173" spans="3:12" ht="15.75" customHeight="1">
      <c r="C173" s="13"/>
      <c r="K173" s="2"/>
      <c r="L173" s="2"/>
    </row>
    <row r="174" spans="3:12" ht="15.75" customHeight="1">
      <c r="C174" s="13"/>
      <c r="K174" s="2"/>
      <c r="L174" s="2"/>
    </row>
    <row r="175" spans="3:12" ht="15.75" customHeight="1">
      <c r="C175" s="13"/>
      <c r="K175" s="2"/>
      <c r="L175" s="2"/>
    </row>
    <row r="176" spans="3:12" ht="15.75" customHeight="1">
      <c r="C176" s="13"/>
      <c r="K176" s="2"/>
      <c r="L176" s="2"/>
    </row>
    <row r="177" spans="3:12" ht="15.75" customHeight="1">
      <c r="C177" s="13"/>
      <c r="K177" s="2"/>
      <c r="L177" s="2"/>
    </row>
    <row r="178" spans="3:12" ht="15.75" customHeight="1">
      <c r="C178" s="13"/>
      <c r="K178" s="2"/>
      <c r="L178" s="2"/>
    </row>
    <row r="179" spans="3:12" ht="15.75" customHeight="1">
      <c r="C179" s="13"/>
      <c r="K179" s="2"/>
      <c r="L179" s="2"/>
    </row>
    <row r="180" spans="3:12" ht="15.75" customHeight="1">
      <c r="C180" s="13"/>
      <c r="K180" s="2"/>
      <c r="L180" s="2"/>
    </row>
    <row r="181" spans="3:12" ht="15.75" customHeight="1">
      <c r="C181" s="13"/>
      <c r="K181" s="2"/>
      <c r="L181" s="2"/>
    </row>
    <row r="182" spans="3:12" ht="15.75" customHeight="1">
      <c r="C182" s="13"/>
      <c r="K182" s="2"/>
      <c r="L182" s="2"/>
    </row>
    <row r="183" spans="3:12" ht="15.75" customHeight="1">
      <c r="C183" s="13"/>
      <c r="K183" s="2"/>
      <c r="L183" s="2"/>
    </row>
    <row r="184" spans="3:12" ht="15.75" customHeight="1">
      <c r="C184" s="13"/>
      <c r="K184" s="2"/>
      <c r="L184" s="2"/>
    </row>
    <row r="185" spans="3:12" ht="15.75" customHeight="1">
      <c r="C185" s="13"/>
      <c r="K185" s="2"/>
      <c r="L185" s="2"/>
    </row>
    <row r="186" spans="3:12" ht="15.75" customHeight="1">
      <c r="C186" s="13"/>
      <c r="K186" s="2"/>
      <c r="L186" s="2"/>
    </row>
    <row r="187" spans="3:12" ht="15.75" customHeight="1">
      <c r="C187" s="13"/>
      <c r="K187" s="2"/>
      <c r="L187" s="2"/>
    </row>
    <row r="188" spans="3:12" ht="15.75" customHeight="1">
      <c r="C188" s="13"/>
      <c r="K188" s="2"/>
      <c r="L188" s="2"/>
    </row>
    <row r="189" spans="3:12" ht="15.75" customHeight="1">
      <c r="C189" s="13"/>
      <c r="K189" s="2"/>
      <c r="L189" s="2"/>
    </row>
    <row r="190" spans="3:12" ht="15.75" customHeight="1">
      <c r="C190" s="13"/>
      <c r="K190" s="2"/>
      <c r="L190" s="2"/>
    </row>
    <row r="191" spans="3:12" ht="15.75" customHeight="1">
      <c r="C191" s="13"/>
      <c r="K191" s="2"/>
      <c r="L191" s="2"/>
    </row>
    <row r="192" spans="3:12" ht="15.75" customHeight="1">
      <c r="C192" s="13"/>
      <c r="K192" s="2"/>
      <c r="L192" s="2"/>
    </row>
    <row r="193" spans="3:12" ht="15.75" customHeight="1">
      <c r="C193" s="13"/>
      <c r="K193" s="2"/>
      <c r="L193" s="2"/>
    </row>
    <row r="194" spans="3:12" ht="15.75" customHeight="1">
      <c r="C194" s="13"/>
      <c r="K194" s="2"/>
      <c r="L194" s="2"/>
    </row>
    <row r="195" spans="3:12" ht="15.75" customHeight="1">
      <c r="C195" s="13"/>
      <c r="K195" s="2"/>
      <c r="L195" s="2"/>
    </row>
    <row r="196" spans="3:12" ht="15.75" customHeight="1">
      <c r="C196" s="13"/>
      <c r="K196" s="2"/>
      <c r="L196" s="2"/>
    </row>
    <row r="197" spans="3:12" ht="15.75" customHeight="1">
      <c r="C197" s="13"/>
      <c r="K197" s="2"/>
      <c r="L197" s="2"/>
    </row>
    <row r="198" spans="3:12" ht="15.75" customHeight="1">
      <c r="C198" s="13"/>
      <c r="K198" s="2"/>
      <c r="L198" s="2"/>
    </row>
    <row r="199" spans="3:12" ht="15.75" customHeight="1">
      <c r="C199" s="13"/>
      <c r="K199" s="2"/>
      <c r="L199" s="2"/>
    </row>
    <row r="200" spans="3:12" ht="15.75" customHeight="1">
      <c r="C200" s="13"/>
      <c r="K200" s="2"/>
      <c r="L200" s="2"/>
    </row>
    <row r="201" spans="3:12" ht="15.75" customHeight="1">
      <c r="C201" s="13"/>
      <c r="K201" s="2"/>
      <c r="L201" s="2"/>
    </row>
    <row r="202" spans="3:12" ht="15.75" customHeight="1">
      <c r="C202" s="13"/>
      <c r="K202" s="2"/>
      <c r="L202" s="2"/>
    </row>
    <row r="203" spans="3:12" ht="15.75" customHeight="1">
      <c r="C203" s="13"/>
      <c r="K203" s="2"/>
      <c r="L203" s="2"/>
    </row>
    <row r="204" spans="3:12" ht="15.75" customHeight="1">
      <c r="C204" s="13"/>
      <c r="K204" s="2"/>
      <c r="L204" s="2"/>
    </row>
    <row r="205" spans="3:12" ht="15.75" customHeight="1">
      <c r="C205" s="13"/>
      <c r="K205" s="2"/>
      <c r="L205" s="2"/>
    </row>
    <row r="206" spans="3:12" ht="15.75" customHeight="1">
      <c r="C206" s="13"/>
      <c r="K206" s="2"/>
      <c r="L206" s="2"/>
    </row>
    <row r="207" spans="3:12" ht="15.75" customHeight="1">
      <c r="C207" s="13"/>
      <c r="K207" s="2"/>
      <c r="L207" s="2"/>
    </row>
    <row r="208" spans="3:12" ht="15.75" customHeight="1">
      <c r="C208" s="13"/>
      <c r="K208" s="2"/>
      <c r="L208" s="2"/>
    </row>
    <row r="209" spans="3:12" ht="15.75" customHeight="1">
      <c r="C209" s="13"/>
      <c r="K209" s="2"/>
      <c r="L209" s="2"/>
    </row>
    <row r="210" spans="3:12" ht="15.75" customHeight="1">
      <c r="C210" s="13"/>
      <c r="K210" s="2"/>
      <c r="L210" s="2"/>
    </row>
    <row r="211" spans="3:12" ht="15.75" customHeight="1">
      <c r="C211" s="13"/>
      <c r="K211" s="2"/>
      <c r="L211" s="2"/>
    </row>
    <row r="212" spans="3:12" ht="15.75" customHeight="1">
      <c r="C212" s="13"/>
      <c r="K212" s="2"/>
      <c r="L212" s="2"/>
    </row>
    <row r="213" spans="3:12" ht="15.75" customHeight="1">
      <c r="C213" s="13"/>
      <c r="K213" s="2"/>
      <c r="L213" s="2"/>
    </row>
    <row r="214" spans="3:12" ht="15.75" customHeight="1">
      <c r="C214" s="13"/>
      <c r="K214" s="2"/>
      <c r="L214" s="2"/>
    </row>
    <row r="215" spans="3:12" ht="15.75" customHeight="1">
      <c r="C215" s="13"/>
      <c r="K215" s="2"/>
      <c r="L215" s="2"/>
    </row>
    <row r="216" spans="3:12" ht="15.75" customHeight="1">
      <c r="C216" s="13"/>
      <c r="K216" s="2"/>
      <c r="L216" s="2"/>
    </row>
    <row r="217" spans="3:12" ht="15.75" customHeight="1">
      <c r="C217" s="13"/>
      <c r="K217" s="2"/>
      <c r="L217" s="2"/>
    </row>
    <row r="218" spans="3:12" ht="15.75" customHeight="1">
      <c r="C218" s="13"/>
      <c r="K218" s="2"/>
      <c r="L218" s="2"/>
    </row>
    <row r="219" spans="3:12" ht="15.75" customHeight="1">
      <c r="C219" s="13"/>
      <c r="K219" s="2"/>
      <c r="L219" s="2"/>
    </row>
    <row r="220" spans="3:12" ht="15.75" customHeight="1">
      <c r="C220" s="13"/>
      <c r="K220" s="2"/>
      <c r="L220" s="2"/>
    </row>
    <row r="221" spans="3:12" ht="15.75" customHeight="1">
      <c r="C221" s="13"/>
      <c r="K221" s="2"/>
      <c r="L221" s="2"/>
    </row>
    <row r="222" spans="3:12" ht="15.75" customHeight="1">
      <c r="C222" s="13"/>
      <c r="K222" s="2"/>
      <c r="L222" s="2"/>
    </row>
    <row r="223" spans="3:12" ht="15.75" customHeight="1">
      <c r="C223" s="13"/>
      <c r="K223" s="2"/>
      <c r="L223" s="2"/>
    </row>
    <row r="224" spans="3:12" ht="15.75" customHeight="1">
      <c r="C224" s="13"/>
      <c r="K224" s="2"/>
      <c r="L224" s="2"/>
    </row>
    <row r="225" spans="3:12" ht="15.75" customHeight="1">
      <c r="C225" s="13"/>
      <c r="K225" s="2"/>
      <c r="L225" s="2"/>
    </row>
    <row r="226" spans="3:12" ht="15.75" customHeight="1">
      <c r="C226" s="13"/>
      <c r="K226" s="2"/>
      <c r="L226" s="2"/>
    </row>
    <row r="227" spans="3:12" ht="15.75" customHeight="1">
      <c r="C227" s="13"/>
      <c r="K227" s="2"/>
      <c r="L227" s="2"/>
    </row>
    <row r="228" spans="3:12" ht="15.75" customHeight="1">
      <c r="C228" s="13"/>
      <c r="K228" s="2"/>
      <c r="L228" s="2"/>
    </row>
    <row r="229" spans="3:12" ht="15.75" customHeight="1">
      <c r="C229" s="13"/>
      <c r="K229" s="2"/>
      <c r="L229" s="2"/>
    </row>
    <row r="230" spans="3:12" ht="15.75" customHeight="1">
      <c r="C230" s="13"/>
      <c r="K230" s="2"/>
      <c r="L230" s="2"/>
    </row>
    <row r="231" spans="3:12" ht="15.75" customHeight="1">
      <c r="C231" s="13"/>
      <c r="K231" s="2"/>
      <c r="L231" s="2"/>
    </row>
    <row r="232" spans="3:12" ht="15.75" customHeight="1">
      <c r="C232" s="13"/>
      <c r="K232" s="2"/>
      <c r="L232" s="2"/>
    </row>
    <row r="233" spans="3:12" ht="15.75" customHeight="1">
      <c r="C233" s="13"/>
      <c r="K233" s="2"/>
      <c r="L233" s="2"/>
    </row>
    <row r="234" spans="3:12" ht="15.75" customHeight="1">
      <c r="C234" s="13"/>
      <c r="K234" s="2"/>
      <c r="L234" s="2"/>
    </row>
    <row r="235" spans="3:12" ht="15.75" customHeight="1">
      <c r="C235" s="13"/>
      <c r="K235" s="2"/>
      <c r="L235" s="2"/>
    </row>
    <row r="236" spans="3:12" ht="15.75" customHeight="1">
      <c r="C236" s="13"/>
      <c r="K236" s="2"/>
      <c r="L236" s="2"/>
    </row>
    <row r="237" spans="3:12" ht="15.75" customHeight="1">
      <c r="C237" s="13"/>
      <c r="K237" s="2"/>
      <c r="L237" s="2"/>
    </row>
    <row r="238" spans="3:12" ht="15.75" customHeight="1">
      <c r="C238" s="13"/>
      <c r="K238" s="2"/>
      <c r="L238" s="2"/>
    </row>
    <row r="239" spans="3:12" ht="15.75" customHeight="1">
      <c r="C239" s="13"/>
      <c r="K239" s="2"/>
      <c r="L239" s="2"/>
    </row>
    <row r="240" spans="3:12" ht="15.75" customHeight="1">
      <c r="C240" s="13"/>
      <c r="K240" s="2"/>
      <c r="L240" s="2"/>
    </row>
    <row r="241" spans="3:12" ht="15.75" customHeight="1">
      <c r="C241" s="13"/>
      <c r="K241" s="2"/>
      <c r="L241" s="2"/>
    </row>
    <row r="242" spans="3:12" ht="15.75" customHeight="1">
      <c r="C242" s="13"/>
      <c r="K242" s="2"/>
      <c r="L242" s="2"/>
    </row>
    <row r="243" spans="3:12" ht="15.75" customHeight="1">
      <c r="C243" s="13"/>
      <c r="K243" s="2"/>
      <c r="L243" s="2"/>
    </row>
    <row r="244" spans="3:12" ht="15.75" customHeight="1">
      <c r="C244" s="13"/>
      <c r="K244" s="2"/>
      <c r="L244" s="2"/>
    </row>
    <row r="245" spans="3:12" ht="15.75" customHeight="1">
      <c r="C245" s="13"/>
      <c r="K245" s="2"/>
      <c r="L245" s="2"/>
    </row>
    <row r="246" spans="3:12" ht="15.75" customHeight="1">
      <c r="C246" s="13"/>
      <c r="K246" s="2"/>
      <c r="L246" s="2"/>
    </row>
    <row r="247" spans="3:12" ht="15.75" customHeight="1">
      <c r="C247" s="13"/>
      <c r="K247" s="2"/>
      <c r="L247" s="2"/>
    </row>
    <row r="248" spans="3:12" ht="15.75" customHeight="1">
      <c r="C248" s="13"/>
      <c r="K248" s="2"/>
      <c r="L248" s="2"/>
    </row>
    <row r="249" spans="3:12" ht="15.75" customHeight="1">
      <c r="C249" s="13"/>
      <c r="K249" s="2"/>
      <c r="L249" s="2"/>
    </row>
    <row r="250" spans="3:12" ht="15.75" customHeight="1">
      <c r="C250" s="13"/>
      <c r="K250" s="2"/>
      <c r="L250" s="2"/>
    </row>
    <row r="251" spans="3:12" ht="15.75" customHeight="1">
      <c r="C251" s="13"/>
      <c r="K251" s="2"/>
      <c r="L251" s="2"/>
    </row>
    <row r="252" spans="3:12" ht="15.75" customHeight="1">
      <c r="C252" s="13"/>
      <c r="K252" s="2"/>
      <c r="L252" s="2"/>
    </row>
    <row r="253" spans="3:12" ht="15.75" customHeight="1">
      <c r="C253" s="13"/>
      <c r="K253" s="2"/>
      <c r="L253" s="2"/>
    </row>
    <row r="254" spans="3:12" ht="15.75" customHeight="1">
      <c r="C254" s="13"/>
      <c r="K254" s="2"/>
      <c r="L254" s="2"/>
    </row>
    <row r="255" spans="3:12" ht="15.75" customHeight="1">
      <c r="C255" s="13"/>
      <c r="K255" s="2"/>
      <c r="L255" s="2"/>
    </row>
    <row r="256" spans="3:12" ht="15.75" customHeight="1">
      <c r="C256" s="13"/>
      <c r="K256" s="2"/>
      <c r="L256" s="2"/>
    </row>
    <row r="257" spans="3:12" ht="15.75" customHeight="1">
      <c r="C257" s="13"/>
      <c r="K257" s="2"/>
      <c r="L257" s="2"/>
    </row>
    <row r="258" spans="3:12" ht="15.75" customHeight="1">
      <c r="C258" s="13"/>
      <c r="K258" s="2"/>
      <c r="L258" s="2"/>
    </row>
    <row r="259" spans="3:12" ht="15.75" customHeight="1">
      <c r="C259" s="13"/>
      <c r="K259" s="2"/>
      <c r="L259" s="2"/>
    </row>
    <row r="260" spans="3:12" ht="15.75" customHeight="1">
      <c r="C260" s="13"/>
      <c r="K260" s="2"/>
      <c r="L260" s="2"/>
    </row>
    <row r="261" spans="3:12" ht="15.75" customHeight="1">
      <c r="C261" s="13"/>
      <c r="K261" s="2"/>
      <c r="L261" s="2"/>
    </row>
    <row r="262" spans="3:12" ht="15.75" customHeight="1">
      <c r="C262" s="13"/>
      <c r="K262" s="2"/>
      <c r="L262" s="2"/>
    </row>
    <row r="263" spans="3:12" ht="15.75" customHeight="1">
      <c r="C263" s="13"/>
      <c r="K263" s="2"/>
      <c r="L263" s="2"/>
    </row>
    <row r="264" spans="3:12" ht="15.75" customHeight="1">
      <c r="C264" s="13"/>
      <c r="K264" s="2"/>
      <c r="L264" s="2"/>
    </row>
    <row r="265" spans="3:12" ht="15.75" customHeight="1">
      <c r="C265" s="13"/>
      <c r="K265" s="2"/>
      <c r="L265" s="2"/>
    </row>
    <row r="266" spans="3:12" ht="15.75" customHeight="1">
      <c r="C266" s="13"/>
      <c r="K266" s="2"/>
      <c r="L266" s="2"/>
    </row>
    <row r="267" spans="3:12" ht="15.75" customHeight="1">
      <c r="C267" s="13"/>
      <c r="K267" s="2"/>
      <c r="L267" s="2"/>
    </row>
    <row r="268" spans="3:12" ht="15.75" customHeight="1">
      <c r="C268" s="13"/>
      <c r="K268" s="2"/>
      <c r="L268" s="2"/>
    </row>
    <row r="269" spans="3:12" ht="15.75" customHeight="1">
      <c r="C269" s="13"/>
      <c r="K269" s="2"/>
      <c r="L269" s="2"/>
    </row>
    <row r="270" spans="3:12" ht="15.75" customHeight="1">
      <c r="C270" s="13"/>
      <c r="K270" s="2"/>
      <c r="L270" s="2"/>
    </row>
    <row r="271" spans="3:12" ht="15.75" customHeight="1">
      <c r="C271" s="13"/>
      <c r="K271" s="2"/>
      <c r="L271" s="2"/>
    </row>
    <row r="272" spans="3:12" ht="15.75" customHeight="1">
      <c r="C272" s="13"/>
      <c r="K272" s="2"/>
      <c r="L272" s="2"/>
    </row>
    <row r="273" spans="3:12" ht="15.75" customHeight="1">
      <c r="C273" s="13"/>
      <c r="K273" s="2"/>
      <c r="L273" s="2"/>
    </row>
    <row r="274" spans="3:12" ht="15.75" customHeight="1">
      <c r="C274" s="13"/>
      <c r="K274" s="2"/>
      <c r="L274" s="2"/>
    </row>
    <row r="275" spans="3:12" ht="15.75" customHeight="1">
      <c r="C275" s="13"/>
      <c r="K275" s="2"/>
      <c r="L275" s="2"/>
    </row>
    <row r="276" spans="3:12" ht="15.75" customHeight="1">
      <c r="C276" s="13"/>
      <c r="K276" s="2"/>
      <c r="L276" s="2"/>
    </row>
    <row r="277" spans="3:12" ht="15.75" customHeight="1">
      <c r="C277" s="13"/>
      <c r="K277" s="2"/>
      <c r="L277" s="2"/>
    </row>
    <row r="278" spans="3:12" ht="15.75" customHeight="1">
      <c r="C278" s="13"/>
      <c r="K278" s="2"/>
      <c r="L278" s="2"/>
    </row>
    <row r="279" spans="3:12" ht="15.75" customHeight="1">
      <c r="C279" s="13"/>
      <c r="K279" s="2"/>
      <c r="L279" s="2"/>
    </row>
    <row r="280" spans="3:12" ht="15.75" customHeight="1">
      <c r="C280" s="13"/>
      <c r="K280" s="2"/>
      <c r="L280" s="2"/>
    </row>
    <row r="281" spans="3:12" ht="15.75" customHeight="1">
      <c r="C281" s="13"/>
      <c r="K281" s="2"/>
      <c r="L281" s="2"/>
    </row>
    <row r="282" spans="3:12" ht="15.75" customHeight="1">
      <c r="C282" s="13"/>
      <c r="K282" s="2"/>
      <c r="L282" s="2"/>
    </row>
    <row r="283" spans="3:12" ht="15.75" customHeight="1">
      <c r="C283" s="13"/>
      <c r="K283" s="2"/>
      <c r="L283" s="2"/>
    </row>
    <row r="284" spans="3:12" ht="15.75" customHeight="1">
      <c r="C284" s="13"/>
      <c r="K284" s="2"/>
      <c r="L284" s="2"/>
    </row>
    <row r="285" spans="3:12" ht="15.75" customHeight="1">
      <c r="C285" s="13"/>
      <c r="K285" s="2"/>
      <c r="L285" s="2"/>
    </row>
    <row r="286" spans="3:12" ht="15.75" customHeight="1">
      <c r="C286" s="13"/>
      <c r="K286" s="2"/>
      <c r="L286" s="2"/>
    </row>
    <row r="287" spans="3:12" ht="15.75" customHeight="1">
      <c r="C287" s="13"/>
      <c r="K287" s="2"/>
      <c r="L287" s="2"/>
    </row>
    <row r="288" spans="3:12" ht="15.75" customHeight="1">
      <c r="C288" s="13"/>
      <c r="K288" s="2"/>
      <c r="L288" s="2"/>
    </row>
    <row r="289" spans="3:12" ht="15.75" customHeight="1">
      <c r="C289" s="13"/>
      <c r="K289" s="2"/>
      <c r="L289" s="2"/>
    </row>
    <row r="290" spans="3:12" ht="15.75" customHeight="1">
      <c r="C290" s="13"/>
      <c r="K290" s="2"/>
      <c r="L290" s="2"/>
    </row>
    <row r="291" spans="3:12" ht="15.75" customHeight="1">
      <c r="C291" s="13"/>
      <c r="K291" s="2"/>
      <c r="L291" s="2"/>
    </row>
    <row r="292" spans="3:12" ht="15.75" customHeight="1">
      <c r="C292" s="13"/>
      <c r="K292" s="2"/>
      <c r="L292" s="2"/>
    </row>
    <row r="293" spans="3:12" ht="15.75" customHeight="1">
      <c r="C293" s="13"/>
      <c r="K293" s="2"/>
      <c r="L293" s="2"/>
    </row>
    <row r="294" spans="3:12" ht="15.75" customHeight="1">
      <c r="C294" s="13"/>
      <c r="K294" s="2"/>
      <c r="L294" s="2"/>
    </row>
    <row r="295" spans="3:12" ht="15.75" customHeight="1">
      <c r="C295" s="13"/>
      <c r="K295" s="2"/>
      <c r="L295" s="2"/>
    </row>
    <row r="296" spans="3:12" ht="15.75" customHeight="1">
      <c r="C296" s="13"/>
      <c r="K296" s="2"/>
      <c r="L296" s="2"/>
    </row>
    <row r="297" spans="3:12" ht="15.75" customHeight="1">
      <c r="C297" s="13"/>
      <c r="K297" s="2"/>
      <c r="L297" s="2"/>
    </row>
    <row r="298" spans="3:12" ht="15.75" customHeight="1">
      <c r="C298" s="13"/>
      <c r="K298" s="2"/>
      <c r="L298" s="2"/>
    </row>
    <row r="299" spans="3:12" ht="15.75" customHeight="1">
      <c r="C299" s="13"/>
      <c r="K299" s="2"/>
      <c r="L299" s="2"/>
    </row>
    <row r="300" spans="3:12" ht="15.75" customHeight="1">
      <c r="C300" s="13"/>
      <c r="K300" s="2"/>
      <c r="L300" s="2"/>
    </row>
    <row r="301" spans="3:12" ht="15.75" customHeight="1">
      <c r="C301" s="13"/>
      <c r="K301" s="2"/>
      <c r="L301" s="2"/>
    </row>
    <row r="302" spans="3:12" ht="15.75" customHeight="1">
      <c r="C302" s="13"/>
      <c r="K302" s="2"/>
      <c r="L302" s="2"/>
    </row>
    <row r="303" spans="3:12" ht="15.75" customHeight="1">
      <c r="C303" s="13"/>
      <c r="K303" s="2"/>
      <c r="L303" s="2"/>
    </row>
    <row r="304" spans="3:12" ht="15.75" customHeight="1">
      <c r="C304" s="13"/>
      <c r="K304" s="2"/>
      <c r="L304" s="2"/>
    </row>
    <row r="305" spans="3:12" ht="15.75" customHeight="1">
      <c r="C305" s="13"/>
      <c r="K305" s="2"/>
      <c r="L305" s="2"/>
    </row>
    <row r="306" spans="3:12" ht="15.75" customHeight="1">
      <c r="C306" s="13"/>
      <c r="K306" s="2"/>
      <c r="L306" s="2"/>
    </row>
    <row r="307" spans="3:12" ht="15.75" customHeight="1">
      <c r="C307" s="13"/>
      <c r="K307" s="2"/>
      <c r="L307" s="2"/>
    </row>
    <row r="308" spans="3:12" ht="15.75" customHeight="1">
      <c r="C308" s="13"/>
      <c r="K308" s="2"/>
      <c r="L308" s="2"/>
    </row>
    <row r="309" spans="3:12" ht="15.75" customHeight="1">
      <c r="C309" s="13"/>
      <c r="K309" s="2"/>
      <c r="L309" s="2"/>
    </row>
    <row r="310" spans="3:12" ht="15.75" customHeight="1">
      <c r="C310" s="13"/>
      <c r="K310" s="2"/>
      <c r="L310" s="2"/>
    </row>
    <row r="311" spans="3:12" ht="15.75" customHeight="1">
      <c r="C311" s="13"/>
      <c r="K311" s="2"/>
      <c r="L311" s="2"/>
    </row>
    <row r="312" spans="3:12" ht="15.75" customHeight="1">
      <c r="C312" s="13"/>
      <c r="K312" s="2"/>
      <c r="L312" s="2"/>
    </row>
    <row r="313" spans="3:12" ht="15.75" customHeight="1">
      <c r="C313" s="13"/>
      <c r="K313" s="2"/>
      <c r="L313" s="2"/>
    </row>
    <row r="314" spans="3:12" ht="15.75" customHeight="1">
      <c r="C314" s="13"/>
      <c r="K314" s="2"/>
      <c r="L314" s="2"/>
    </row>
    <row r="315" spans="3:12" ht="15.75" customHeight="1">
      <c r="C315" s="13"/>
      <c r="K315" s="2"/>
      <c r="L315" s="2"/>
    </row>
    <row r="316" spans="3:12" ht="15.75" customHeight="1">
      <c r="C316" s="13"/>
      <c r="K316" s="2"/>
      <c r="L316" s="2"/>
    </row>
    <row r="317" spans="3:12" ht="15.75" customHeight="1">
      <c r="C317" s="13"/>
      <c r="K317" s="2"/>
      <c r="L317" s="2"/>
    </row>
    <row r="318" spans="3:12" ht="15.75" customHeight="1">
      <c r="C318" s="13"/>
      <c r="K318" s="2"/>
      <c r="L318" s="2"/>
    </row>
    <row r="319" spans="3:12" ht="15.75" customHeight="1">
      <c r="C319" s="13"/>
      <c r="K319" s="2"/>
      <c r="L319" s="2"/>
    </row>
    <row r="320" spans="3:12" ht="15.75" customHeight="1">
      <c r="C320" s="13"/>
      <c r="K320" s="2"/>
      <c r="L320" s="2"/>
    </row>
    <row r="321" spans="3:12" ht="15.75" customHeight="1">
      <c r="C321" s="13"/>
      <c r="K321" s="2"/>
      <c r="L321" s="2"/>
    </row>
    <row r="322" spans="3:12" ht="15.75" customHeight="1">
      <c r="C322" s="13"/>
      <c r="K322" s="2"/>
      <c r="L322" s="2"/>
    </row>
    <row r="323" spans="3:12" ht="15.75" customHeight="1">
      <c r="C323" s="13"/>
      <c r="K323" s="2"/>
      <c r="L323" s="2"/>
    </row>
    <row r="324" spans="3:12" ht="15.75" customHeight="1">
      <c r="C324" s="13"/>
      <c r="K324" s="2"/>
      <c r="L324" s="2"/>
    </row>
    <row r="325" spans="3:12" ht="15.75" customHeight="1">
      <c r="C325" s="13"/>
      <c r="K325" s="2"/>
      <c r="L325" s="2"/>
    </row>
    <row r="326" spans="3:12" ht="15.75" customHeight="1">
      <c r="C326" s="13"/>
      <c r="K326" s="2"/>
      <c r="L326" s="2"/>
    </row>
    <row r="327" spans="3:12" ht="15.75" customHeight="1">
      <c r="C327" s="13"/>
      <c r="K327" s="2"/>
      <c r="L327" s="2"/>
    </row>
    <row r="328" spans="3:12" ht="15.75" customHeight="1">
      <c r="C328" s="13"/>
      <c r="K328" s="2"/>
      <c r="L328" s="2"/>
    </row>
    <row r="329" spans="3:12" ht="15.75" customHeight="1">
      <c r="C329" s="13"/>
      <c r="K329" s="2"/>
      <c r="L329" s="2"/>
    </row>
    <row r="330" spans="3:12" ht="15.75" customHeight="1">
      <c r="C330" s="13"/>
      <c r="K330" s="2"/>
      <c r="L330" s="2"/>
    </row>
    <row r="331" spans="3:12" ht="15.75" customHeight="1">
      <c r="C331" s="13"/>
      <c r="K331" s="2"/>
      <c r="L331" s="2"/>
    </row>
    <row r="332" spans="3:12" ht="15.75" customHeight="1">
      <c r="C332" s="13"/>
      <c r="K332" s="2"/>
      <c r="L332" s="2"/>
    </row>
    <row r="333" spans="3:12" ht="15.75" customHeight="1">
      <c r="C333" s="13"/>
      <c r="K333" s="2"/>
      <c r="L333" s="2"/>
    </row>
    <row r="334" spans="3:12" ht="15.75" customHeight="1">
      <c r="C334" s="13"/>
      <c r="K334" s="2"/>
      <c r="L334" s="2"/>
    </row>
    <row r="335" spans="3:12" ht="15.75" customHeight="1">
      <c r="C335" s="13"/>
      <c r="K335" s="2"/>
      <c r="L335" s="2"/>
    </row>
    <row r="336" spans="3:12" ht="15.75" customHeight="1">
      <c r="C336" s="13"/>
      <c r="K336" s="2"/>
      <c r="L336" s="2"/>
    </row>
    <row r="337" spans="3:12" ht="15.75" customHeight="1">
      <c r="C337" s="13"/>
      <c r="K337" s="2"/>
      <c r="L337" s="2"/>
    </row>
    <row r="338" spans="3:12" ht="15.75" customHeight="1">
      <c r="C338" s="13"/>
      <c r="K338" s="2"/>
      <c r="L338" s="2"/>
    </row>
    <row r="339" spans="3:12" ht="15.75" customHeight="1">
      <c r="C339" s="13"/>
      <c r="K339" s="2"/>
      <c r="L339" s="2"/>
    </row>
    <row r="340" spans="3:12" ht="15.75" customHeight="1">
      <c r="C340" s="13"/>
      <c r="K340" s="2"/>
      <c r="L340" s="2"/>
    </row>
    <row r="341" spans="3:12" ht="15.75" customHeight="1">
      <c r="C341" s="13"/>
      <c r="K341" s="2"/>
      <c r="L341" s="2"/>
    </row>
    <row r="342" spans="3:12" ht="15.75" customHeight="1">
      <c r="C342" s="13"/>
      <c r="K342" s="2"/>
      <c r="L342" s="2"/>
    </row>
    <row r="343" spans="3:12" ht="15.75" customHeight="1">
      <c r="C343" s="13"/>
      <c r="K343" s="2"/>
      <c r="L343" s="2"/>
    </row>
    <row r="344" spans="3:12" ht="15.75" customHeight="1">
      <c r="C344" s="13"/>
      <c r="K344" s="2"/>
      <c r="L344" s="2"/>
    </row>
    <row r="345" spans="3:12" ht="15.75" customHeight="1">
      <c r="C345" s="13"/>
      <c r="K345" s="2"/>
      <c r="L345" s="2"/>
    </row>
    <row r="346" spans="3:12" ht="15.75" customHeight="1">
      <c r="C346" s="13"/>
      <c r="K346" s="2"/>
      <c r="L346" s="2"/>
    </row>
    <row r="347" spans="3:12" ht="15.75" customHeight="1">
      <c r="C347" s="13"/>
      <c r="K347" s="2"/>
      <c r="L347" s="2"/>
    </row>
    <row r="348" spans="3:12" ht="15.75" customHeight="1">
      <c r="C348" s="13"/>
      <c r="K348" s="2"/>
      <c r="L348" s="2"/>
    </row>
    <row r="349" spans="3:12" ht="15.75" customHeight="1">
      <c r="C349" s="13"/>
      <c r="K349" s="2"/>
      <c r="L349" s="2"/>
    </row>
    <row r="350" spans="3:12" ht="15.75" customHeight="1">
      <c r="C350" s="13"/>
      <c r="K350" s="2"/>
      <c r="L350" s="2"/>
    </row>
    <row r="351" spans="3:12" ht="15.75" customHeight="1">
      <c r="C351" s="13"/>
      <c r="K351" s="2"/>
      <c r="L351" s="2"/>
    </row>
    <row r="352" spans="3:12" ht="15.75" customHeight="1">
      <c r="C352" s="13"/>
      <c r="K352" s="2"/>
      <c r="L352" s="2"/>
    </row>
    <row r="353" spans="3:12" ht="15.75" customHeight="1">
      <c r="C353" s="13"/>
      <c r="K353" s="2"/>
      <c r="L353" s="2"/>
    </row>
    <row r="354" spans="3:12" ht="15.75" customHeight="1">
      <c r="C354" s="13"/>
      <c r="K354" s="2"/>
      <c r="L354" s="2"/>
    </row>
    <row r="355" spans="3:12" ht="15.75" customHeight="1">
      <c r="C355" s="13"/>
      <c r="K355" s="2"/>
      <c r="L355" s="2"/>
    </row>
    <row r="356" spans="3:12" ht="15.75" customHeight="1">
      <c r="C356" s="13"/>
      <c r="K356" s="2"/>
      <c r="L356" s="2"/>
    </row>
    <row r="357" spans="3:12" ht="15.75" customHeight="1">
      <c r="C357" s="13"/>
      <c r="K357" s="2"/>
      <c r="L357" s="2"/>
    </row>
    <row r="358" spans="3:12" ht="15.75" customHeight="1">
      <c r="C358" s="13"/>
      <c r="K358" s="2"/>
      <c r="L358" s="2"/>
    </row>
    <row r="359" spans="3:12" ht="15.75" customHeight="1">
      <c r="C359" s="13"/>
      <c r="K359" s="2"/>
      <c r="L359" s="2"/>
    </row>
    <row r="360" spans="3:12" ht="15.75" customHeight="1">
      <c r="C360" s="13"/>
      <c r="K360" s="2"/>
      <c r="L360" s="2"/>
    </row>
    <row r="361" spans="3:12" ht="15.75" customHeight="1">
      <c r="C361" s="13"/>
      <c r="K361" s="2"/>
      <c r="L361" s="2"/>
    </row>
    <row r="362" spans="3:12" ht="15.75" customHeight="1">
      <c r="C362" s="13"/>
      <c r="K362" s="2"/>
      <c r="L362" s="2"/>
    </row>
    <row r="363" spans="3:12" ht="15.75" customHeight="1">
      <c r="C363" s="13"/>
      <c r="K363" s="2"/>
      <c r="L363" s="2"/>
    </row>
    <row r="364" spans="3:12" ht="15.75" customHeight="1">
      <c r="C364" s="13"/>
      <c r="K364" s="2"/>
      <c r="L364" s="2"/>
    </row>
    <row r="365" spans="3:12" ht="15.75" customHeight="1">
      <c r="C365" s="13"/>
      <c r="K365" s="2"/>
      <c r="L365" s="2"/>
    </row>
    <row r="366" spans="3:12" ht="15.75" customHeight="1">
      <c r="C366" s="13"/>
      <c r="K366" s="2"/>
      <c r="L366" s="2"/>
    </row>
    <row r="367" spans="3:12" ht="15.75" customHeight="1">
      <c r="C367" s="13"/>
      <c r="K367" s="2"/>
      <c r="L367" s="2"/>
    </row>
    <row r="368" spans="3:12" ht="15.75" customHeight="1">
      <c r="C368" s="13"/>
      <c r="K368" s="2"/>
      <c r="L368" s="2"/>
    </row>
    <row r="369" spans="3:12" ht="15.75" customHeight="1">
      <c r="C369" s="13"/>
      <c r="K369" s="2"/>
      <c r="L369" s="2"/>
    </row>
    <row r="370" spans="3:12" ht="15.75" customHeight="1">
      <c r="C370" s="13"/>
      <c r="K370" s="2"/>
      <c r="L370" s="2"/>
    </row>
    <row r="371" spans="3:12" ht="15.75" customHeight="1">
      <c r="C371" s="13"/>
      <c r="K371" s="2"/>
      <c r="L371" s="2"/>
    </row>
    <row r="372" spans="3:12" ht="15.75" customHeight="1">
      <c r="C372" s="13"/>
      <c r="K372" s="2"/>
      <c r="L372" s="2"/>
    </row>
    <row r="373" spans="3:12" ht="15.75" customHeight="1">
      <c r="C373" s="13"/>
      <c r="K373" s="2"/>
      <c r="L373" s="2"/>
    </row>
    <row r="374" spans="3:12" ht="15.75" customHeight="1">
      <c r="C374" s="13"/>
      <c r="K374" s="2"/>
      <c r="L374" s="2"/>
    </row>
    <row r="375" spans="3:12" ht="15.75" customHeight="1">
      <c r="C375" s="13"/>
      <c r="K375" s="2"/>
      <c r="L375" s="2"/>
    </row>
    <row r="376" spans="3:12" ht="15.75" customHeight="1">
      <c r="C376" s="13"/>
      <c r="K376" s="2"/>
      <c r="L376" s="2"/>
    </row>
    <row r="377" spans="3:12" ht="15.75" customHeight="1">
      <c r="C377" s="13"/>
      <c r="K377" s="2"/>
      <c r="L377" s="2"/>
    </row>
    <row r="378" spans="3:12" ht="15.75" customHeight="1">
      <c r="C378" s="13"/>
      <c r="K378" s="2"/>
      <c r="L378" s="2"/>
    </row>
    <row r="379" spans="3:12" ht="15.75" customHeight="1">
      <c r="C379" s="13"/>
      <c r="K379" s="2"/>
      <c r="L379" s="2"/>
    </row>
    <row r="380" spans="3:12" ht="15.75" customHeight="1">
      <c r="C380" s="13"/>
      <c r="K380" s="2"/>
      <c r="L380" s="2"/>
    </row>
    <row r="381" spans="3:12" ht="15.75" customHeight="1">
      <c r="C381" s="13"/>
      <c r="K381" s="2"/>
      <c r="L381" s="2"/>
    </row>
    <row r="382" spans="3:12" ht="15.75" customHeight="1">
      <c r="C382" s="13"/>
      <c r="K382" s="2"/>
      <c r="L382" s="2"/>
    </row>
    <row r="383" spans="3:12" ht="15.75" customHeight="1">
      <c r="C383" s="13"/>
      <c r="K383" s="2"/>
      <c r="L383" s="2"/>
    </row>
    <row r="384" spans="3:12" ht="15.75" customHeight="1">
      <c r="C384" s="13"/>
      <c r="K384" s="2"/>
      <c r="L384" s="2"/>
    </row>
    <row r="385" spans="3:12" ht="15.75" customHeight="1">
      <c r="C385" s="13"/>
      <c r="K385" s="2"/>
      <c r="L385" s="2"/>
    </row>
    <row r="386" spans="3:12" ht="15.75" customHeight="1">
      <c r="C386" s="13"/>
      <c r="K386" s="2"/>
      <c r="L386" s="2"/>
    </row>
    <row r="387" spans="3:12" ht="15.75" customHeight="1">
      <c r="C387" s="13"/>
      <c r="K387" s="2"/>
      <c r="L387" s="2"/>
    </row>
    <row r="388" spans="3:12" ht="15.75" customHeight="1">
      <c r="C388" s="13"/>
      <c r="K388" s="2"/>
      <c r="L388" s="2"/>
    </row>
    <row r="389" spans="3:12" ht="15.75" customHeight="1">
      <c r="C389" s="13"/>
      <c r="K389" s="2"/>
      <c r="L389" s="2"/>
    </row>
    <row r="390" spans="3:12" ht="15.75" customHeight="1">
      <c r="C390" s="13"/>
      <c r="K390" s="2"/>
      <c r="L390" s="2"/>
    </row>
    <row r="391" spans="3:12" ht="15.75" customHeight="1">
      <c r="C391" s="13"/>
      <c r="K391" s="2"/>
      <c r="L391" s="2"/>
    </row>
    <row r="392" spans="3:12" ht="15.75" customHeight="1">
      <c r="C392" s="13"/>
      <c r="K392" s="2"/>
      <c r="L392" s="2"/>
    </row>
    <row r="393" spans="3:12" ht="15.75" customHeight="1">
      <c r="C393" s="13"/>
      <c r="K393" s="2"/>
      <c r="L393" s="2"/>
    </row>
    <row r="394" spans="3:12" ht="15.75" customHeight="1">
      <c r="C394" s="13"/>
      <c r="K394" s="2"/>
      <c r="L394" s="2"/>
    </row>
    <row r="395" spans="3:12" ht="15.75" customHeight="1">
      <c r="C395" s="13"/>
      <c r="K395" s="2"/>
      <c r="L395" s="2"/>
    </row>
    <row r="396" spans="3:12" ht="15.75" customHeight="1">
      <c r="C396" s="13"/>
      <c r="K396" s="2"/>
      <c r="L396" s="2"/>
    </row>
    <row r="397" spans="3:12" ht="15.75" customHeight="1">
      <c r="C397" s="13"/>
      <c r="K397" s="2"/>
      <c r="L397" s="2"/>
    </row>
    <row r="398" spans="3:12" ht="15.75" customHeight="1">
      <c r="C398" s="13"/>
      <c r="K398" s="2"/>
      <c r="L398" s="2"/>
    </row>
    <row r="399" spans="3:12" ht="15.75" customHeight="1">
      <c r="C399" s="13"/>
      <c r="K399" s="2"/>
      <c r="L399" s="2"/>
    </row>
    <row r="400" spans="3:12" ht="15.75" customHeight="1">
      <c r="C400" s="13"/>
      <c r="K400" s="2"/>
      <c r="L400" s="2"/>
    </row>
    <row r="401" spans="3:12" ht="15.75" customHeight="1">
      <c r="C401" s="13"/>
      <c r="K401" s="2"/>
      <c r="L401" s="2"/>
    </row>
    <row r="402" spans="3:12" ht="15.75" customHeight="1">
      <c r="C402" s="13"/>
      <c r="K402" s="2"/>
      <c r="L402" s="2"/>
    </row>
    <row r="403" spans="3:12" ht="15.75" customHeight="1">
      <c r="C403" s="13"/>
      <c r="K403" s="2"/>
      <c r="L403" s="2"/>
    </row>
    <row r="404" spans="3:12" ht="15.75" customHeight="1">
      <c r="C404" s="13"/>
      <c r="K404" s="2"/>
      <c r="L404" s="2"/>
    </row>
    <row r="405" spans="3:12" ht="15.75" customHeight="1">
      <c r="C405" s="13"/>
      <c r="K405" s="2"/>
      <c r="L405" s="2"/>
    </row>
    <row r="406" spans="3:12" ht="15.75" customHeight="1">
      <c r="C406" s="13"/>
      <c r="K406" s="2"/>
      <c r="L406" s="2"/>
    </row>
    <row r="407" spans="3:12" ht="15.75" customHeight="1">
      <c r="C407" s="13"/>
      <c r="K407" s="2"/>
      <c r="L407" s="2"/>
    </row>
    <row r="408" spans="3:12" ht="15.75" customHeight="1">
      <c r="C408" s="13"/>
      <c r="K408" s="2"/>
      <c r="L408" s="2"/>
    </row>
    <row r="409" spans="3:12" ht="15.75" customHeight="1">
      <c r="C409" s="13"/>
      <c r="K409" s="2"/>
      <c r="L409" s="2"/>
    </row>
    <row r="410" spans="3:12" ht="15.75" customHeight="1">
      <c r="C410" s="13"/>
      <c r="K410" s="2"/>
      <c r="L410" s="2"/>
    </row>
    <row r="411" spans="3:12" ht="15.75" customHeight="1">
      <c r="C411" s="13"/>
      <c r="K411" s="2"/>
      <c r="L411" s="2"/>
    </row>
    <row r="412" spans="3:12" ht="15.75" customHeight="1">
      <c r="C412" s="13"/>
      <c r="K412" s="2"/>
      <c r="L412" s="2"/>
    </row>
    <row r="413" spans="3:12" ht="15.75" customHeight="1">
      <c r="C413" s="13"/>
      <c r="K413" s="2"/>
      <c r="L413" s="2"/>
    </row>
    <row r="414" spans="3:12" ht="15.75" customHeight="1">
      <c r="C414" s="13"/>
      <c r="K414" s="2"/>
      <c r="L414" s="2"/>
    </row>
    <row r="415" spans="3:12" ht="15.75" customHeight="1">
      <c r="C415" s="13"/>
      <c r="K415" s="2"/>
      <c r="L415" s="2"/>
    </row>
    <row r="416" spans="3:12" ht="15.75" customHeight="1">
      <c r="C416" s="13"/>
      <c r="K416" s="2"/>
      <c r="L416" s="2"/>
    </row>
    <row r="417" spans="3:12" ht="15.75" customHeight="1">
      <c r="C417" s="13"/>
      <c r="K417" s="2"/>
      <c r="L417" s="2"/>
    </row>
    <row r="418" spans="3:12" ht="15.75" customHeight="1">
      <c r="C418" s="13"/>
      <c r="K418" s="2"/>
      <c r="L418" s="2"/>
    </row>
    <row r="419" spans="3:12" ht="15.75" customHeight="1">
      <c r="C419" s="13"/>
      <c r="K419" s="2"/>
      <c r="L419" s="2"/>
    </row>
    <row r="420" spans="3:12" ht="15.75" customHeight="1">
      <c r="C420" s="13"/>
      <c r="K420" s="2"/>
      <c r="L420" s="2"/>
    </row>
    <row r="421" spans="3:12" ht="15.75" customHeight="1">
      <c r="C421" s="13"/>
      <c r="K421" s="2"/>
      <c r="L421" s="2"/>
    </row>
    <row r="422" spans="3:12" ht="15.75" customHeight="1">
      <c r="C422" s="13"/>
      <c r="K422" s="2"/>
      <c r="L422" s="2"/>
    </row>
    <row r="423" spans="3:12" ht="15.75" customHeight="1">
      <c r="C423" s="13"/>
      <c r="K423" s="2"/>
      <c r="L423" s="2"/>
    </row>
    <row r="424" spans="3:12" ht="15.75" customHeight="1">
      <c r="C424" s="13"/>
      <c r="K424" s="2"/>
      <c r="L424" s="2"/>
    </row>
    <row r="425" spans="3:12" ht="15.75" customHeight="1">
      <c r="C425" s="13"/>
      <c r="K425" s="2"/>
      <c r="L425" s="2"/>
    </row>
    <row r="426" spans="3:12" ht="15.75" customHeight="1">
      <c r="C426" s="13"/>
      <c r="K426" s="2"/>
      <c r="L426" s="2"/>
    </row>
    <row r="427" spans="3:12" ht="15.75" customHeight="1">
      <c r="C427" s="13"/>
      <c r="K427" s="2"/>
      <c r="L427" s="2"/>
    </row>
    <row r="428" spans="3:12" ht="15.75" customHeight="1">
      <c r="C428" s="13"/>
      <c r="K428" s="2"/>
      <c r="L428" s="2"/>
    </row>
    <row r="429" spans="3:12" ht="15.75" customHeight="1">
      <c r="C429" s="13"/>
      <c r="K429" s="2"/>
      <c r="L429" s="2"/>
    </row>
    <row r="430" spans="3:12" ht="15.75" customHeight="1">
      <c r="C430" s="13"/>
      <c r="K430" s="2"/>
      <c r="L430" s="2"/>
    </row>
    <row r="431" spans="3:12" ht="15.75" customHeight="1">
      <c r="C431" s="13"/>
      <c r="K431" s="2"/>
      <c r="L431" s="2"/>
    </row>
    <row r="432" spans="3:12" ht="15.75" customHeight="1">
      <c r="C432" s="13"/>
      <c r="K432" s="2"/>
      <c r="L432" s="2"/>
    </row>
    <row r="433" spans="3:12" ht="15.75" customHeight="1">
      <c r="C433" s="13"/>
      <c r="K433" s="2"/>
      <c r="L433" s="2"/>
    </row>
    <row r="434" spans="3:12" ht="15.75" customHeight="1">
      <c r="C434" s="13"/>
      <c r="K434" s="2"/>
      <c r="L434" s="2"/>
    </row>
    <row r="435" spans="3:12" ht="15.75" customHeight="1">
      <c r="C435" s="13"/>
      <c r="K435" s="2"/>
      <c r="L435" s="2"/>
    </row>
    <row r="436" spans="3:12" ht="15.75" customHeight="1">
      <c r="C436" s="13"/>
      <c r="K436" s="2"/>
      <c r="L436" s="2"/>
    </row>
    <row r="437" spans="3:12" ht="15.75" customHeight="1">
      <c r="C437" s="13"/>
      <c r="K437" s="2"/>
      <c r="L437" s="2"/>
    </row>
    <row r="438" spans="3:12" ht="15.75" customHeight="1">
      <c r="C438" s="13"/>
      <c r="K438" s="2"/>
      <c r="L438" s="2"/>
    </row>
    <row r="439" spans="3:12" ht="15.75" customHeight="1">
      <c r="C439" s="13"/>
      <c r="K439" s="2"/>
      <c r="L439" s="2"/>
    </row>
    <row r="440" spans="3:12" ht="15.75" customHeight="1">
      <c r="C440" s="13"/>
      <c r="K440" s="2"/>
      <c r="L440" s="2"/>
    </row>
    <row r="441" spans="3:12" ht="15.75" customHeight="1">
      <c r="C441" s="13"/>
      <c r="K441" s="2"/>
      <c r="L441" s="2"/>
    </row>
    <row r="442" spans="3:12" ht="15.75" customHeight="1">
      <c r="C442" s="13"/>
      <c r="K442" s="2"/>
      <c r="L442" s="2"/>
    </row>
    <row r="443" spans="3:12" ht="15.75" customHeight="1">
      <c r="C443" s="13"/>
      <c r="K443" s="2"/>
      <c r="L443" s="2"/>
    </row>
    <row r="444" spans="3:12" ht="15.75" customHeight="1">
      <c r="C444" s="13"/>
      <c r="K444" s="2"/>
      <c r="L444" s="2"/>
    </row>
    <row r="445" spans="3:12" ht="15.75" customHeight="1">
      <c r="C445" s="13"/>
      <c r="K445" s="2"/>
      <c r="L445" s="2"/>
    </row>
    <row r="446" spans="3:12" ht="15.75" customHeight="1">
      <c r="C446" s="13"/>
      <c r="K446" s="2"/>
      <c r="L446" s="2"/>
    </row>
    <row r="447" spans="3:12" ht="15.75" customHeight="1">
      <c r="C447" s="13"/>
      <c r="K447" s="2"/>
      <c r="L447" s="2"/>
    </row>
    <row r="448" spans="3:12" ht="15.75" customHeight="1">
      <c r="C448" s="13"/>
      <c r="K448" s="2"/>
      <c r="L448" s="2"/>
    </row>
    <row r="449" spans="3:12" ht="15.75" customHeight="1">
      <c r="C449" s="13"/>
      <c r="K449" s="2"/>
      <c r="L449" s="2"/>
    </row>
    <row r="450" spans="3:12" ht="15.75" customHeight="1">
      <c r="C450" s="13"/>
      <c r="K450" s="2"/>
      <c r="L450" s="2"/>
    </row>
    <row r="451" spans="3:12" ht="15.75" customHeight="1">
      <c r="C451" s="13"/>
      <c r="K451" s="2"/>
      <c r="L451" s="2"/>
    </row>
    <row r="452" spans="3:12" ht="15.75" customHeight="1">
      <c r="C452" s="13"/>
      <c r="K452" s="2"/>
      <c r="L452" s="2"/>
    </row>
    <row r="453" spans="3:12" ht="15.75" customHeight="1">
      <c r="C453" s="13"/>
      <c r="K453" s="2"/>
      <c r="L453" s="2"/>
    </row>
    <row r="454" spans="3:12" ht="15.75" customHeight="1">
      <c r="C454" s="13"/>
      <c r="K454" s="2"/>
      <c r="L454" s="2"/>
    </row>
    <row r="455" spans="3:12" ht="15.75" customHeight="1">
      <c r="C455" s="13"/>
      <c r="K455" s="2"/>
      <c r="L455" s="2"/>
    </row>
    <row r="456" spans="3:12" ht="15.75" customHeight="1">
      <c r="C456" s="13"/>
      <c r="K456" s="2"/>
      <c r="L456" s="2"/>
    </row>
    <row r="457" spans="3:12" ht="15.75" customHeight="1">
      <c r="C457" s="13"/>
      <c r="K457" s="2"/>
      <c r="L457" s="2"/>
    </row>
    <row r="458" spans="3:12" ht="15.75" customHeight="1">
      <c r="C458" s="13"/>
      <c r="K458" s="2"/>
      <c r="L458" s="2"/>
    </row>
    <row r="459" spans="3:12" ht="15.75" customHeight="1">
      <c r="C459" s="13"/>
      <c r="K459" s="2"/>
      <c r="L459" s="2"/>
    </row>
    <row r="460" spans="3:12" ht="15.75" customHeight="1">
      <c r="C460" s="13"/>
      <c r="K460" s="2"/>
      <c r="L460" s="2"/>
    </row>
    <row r="461" spans="3:12" ht="15.75" customHeight="1">
      <c r="C461" s="13"/>
      <c r="K461" s="2"/>
      <c r="L461" s="2"/>
    </row>
    <row r="462" spans="3:12" ht="15.75" customHeight="1">
      <c r="C462" s="13"/>
      <c r="K462" s="2"/>
      <c r="L462" s="2"/>
    </row>
    <row r="463" spans="3:12" ht="15.75" customHeight="1">
      <c r="C463" s="13"/>
      <c r="K463" s="2"/>
      <c r="L463" s="2"/>
    </row>
    <row r="464" spans="3:12" ht="15.75" customHeight="1">
      <c r="C464" s="13"/>
      <c r="K464" s="2"/>
      <c r="L464" s="2"/>
    </row>
    <row r="465" spans="3:12" ht="15.75" customHeight="1">
      <c r="C465" s="13"/>
      <c r="K465" s="2"/>
      <c r="L465" s="2"/>
    </row>
    <row r="466" spans="3:12" ht="15.75" customHeight="1">
      <c r="C466" s="13"/>
      <c r="K466" s="2"/>
      <c r="L466" s="2"/>
    </row>
    <row r="467" spans="3:12" ht="15.75" customHeight="1">
      <c r="C467" s="13"/>
      <c r="K467" s="2"/>
      <c r="L467" s="2"/>
    </row>
    <row r="468" spans="3:12" ht="15.75" customHeight="1">
      <c r="C468" s="13"/>
      <c r="K468" s="2"/>
      <c r="L468" s="2"/>
    </row>
    <row r="469" spans="3:12" ht="15.75" customHeight="1">
      <c r="C469" s="13"/>
      <c r="K469" s="2"/>
      <c r="L469" s="2"/>
    </row>
    <row r="470" spans="3:12" ht="15.75" customHeight="1">
      <c r="C470" s="13"/>
      <c r="K470" s="2"/>
      <c r="L470" s="2"/>
    </row>
    <row r="471" spans="3:12" ht="15.75" customHeight="1">
      <c r="C471" s="13"/>
      <c r="K471" s="2"/>
      <c r="L471" s="2"/>
    </row>
    <row r="472" spans="3:12" ht="15.75" customHeight="1">
      <c r="C472" s="13"/>
      <c r="K472" s="2"/>
      <c r="L472" s="2"/>
    </row>
    <row r="473" spans="3:12" ht="15.75" customHeight="1">
      <c r="C473" s="13"/>
      <c r="K473" s="2"/>
      <c r="L473" s="2"/>
    </row>
    <row r="474" spans="3:12" ht="15.75" customHeight="1">
      <c r="C474" s="13"/>
      <c r="K474" s="2"/>
      <c r="L474" s="2"/>
    </row>
    <row r="475" spans="3:12" ht="15.75" customHeight="1">
      <c r="C475" s="13"/>
      <c r="K475" s="2"/>
      <c r="L475" s="2"/>
    </row>
    <row r="476" spans="3:12" ht="15.75" customHeight="1">
      <c r="C476" s="13"/>
      <c r="K476" s="2"/>
      <c r="L476" s="2"/>
    </row>
    <row r="477" spans="3:12" ht="15.75" customHeight="1">
      <c r="C477" s="13"/>
      <c r="K477" s="2"/>
      <c r="L477" s="2"/>
    </row>
    <row r="478" spans="3:12" ht="15.75" customHeight="1">
      <c r="C478" s="13"/>
      <c r="K478" s="2"/>
      <c r="L478" s="2"/>
    </row>
    <row r="479" spans="3:12" ht="15.75" customHeight="1">
      <c r="C479" s="13"/>
      <c r="K479" s="2"/>
      <c r="L479" s="2"/>
    </row>
    <row r="480" spans="3:12" ht="15.75" customHeight="1">
      <c r="C480" s="13"/>
      <c r="K480" s="2"/>
      <c r="L480" s="2"/>
    </row>
    <row r="481" spans="3:12" ht="15.75" customHeight="1">
      <c r="C481" s="13"/>
      <c r="K481" s="2"/>
      <c r="L481" s="2"/>
    </row>
    <row r="482" spans="3:12" ht="15.75" customHeight="1">
      <c r="C482" s="13"/>
      <c r="K482" s="2"/>
      <c r="L482" s="2"/>
    </row>
    <row r="483" spans="3:12" ht="15.75" customHeight="1">
      <c r="C483" s="13"/>
      <c r="K483" s="2"/>
      <c r="L483" s="2"/>
    </row>
    <row r="484" spans="3:12" ht="15.75" customHeight="1">
      <c r="C484" s="13"/>
      <c r="K484" s="2"/>
      <c r="L484" s="2"/>
    </row>
    <row r="485" spans="3:12" ht="15.75" customHeight="1">
      <c r="C485" s="13"/>
      <c r="K485" s="2"/>
      <c r="L485" s="2"/>
    </row>
    <row r="486" spans="3:12" ht="15.75" customHeight="1">
      <c r="C486" s="13"/>
      <c r="K486" s="2"/>
      <c r="L486" s="2"/>
    </row>
    <row r="487" spans="3:12" ht="15.75" customHeight="1">
      <c r="C487" s="13"/>
      <c r="K487" s="2"/>
      <c r="L487" s="2"/>
    </row>
    <row r="488" spans="3:12" ht="15.75" customHeight="1">
      <c r="C488" s="13"/>
      <c r="K488" s="2"/>
      <c r="L488" s="2"/>
    </row>
    <row r="489" spans="3:12" ht="15.75" customHeight="1">
      <c r="C489" s="13"/>
      <c r="K489" s="2"/>
      <c r="L489" s="2"/>
    </row>
    <row r="490" spans="3:12" ht="15.75" customHeight="1">
      <c r="C490" s="13"/>
      <c r="K490" s="2"/>
      <c r="L490" s="2"/>
    </row>
    <row r="491" spans="3:12" ht="15.75" customHeight="1">
      <c r="C491" s="13"/>
      <c r="K491" s="2"/>
      <c r="L491" s="2"/>
    </row>
    <row r="492" spans="3:12" ht="15.75" customHeight="1">
      <c r="C492" s="13"/>
      <c r="K492" s="2"/>
      <c r="L492" s="2"/>
    </row>
    <row r="493" spans="3:12" ht="15.75" customHeight="1">
      <c r="C493" s="13"/>
      <c r="K493" s="2"/>
      <c r="L493" s="2"/>
    </row>
    <row r="494" spans="3:12" ht="15.75" customHeight="1">
      <c r="C494" s="13"/>
      <c r="K494" s="2"/>
      <c r="L494" s="2"/>
    </row>
    <row r="495" spans="3:12" ht="15.75" customHeight="1">
      <c r="C495" s="13"/>
      <c r="K495" s="2"/>
      <c r="L495" s="2"/>
    </row>
    <row r="496" spans="3:12" ht="15.75" customHeight="1">
      <c r="C496" s="13"/>
      <c r="K496" s="2"/>
      <c r="L496" s="2"/>
    </row>
    <row r="497" spans="3:12" ht="15.75" customHeight="1">
      <c r="C497" s="13"/>
      <c r="K497" s="2"/>
      <c r="L497" s="2"/>
    </row>
    <row r="498" spans="3:12" ht="15.75" customHeight="1">
      <c r="C498" s="13"/>
      <c r="K498" s="2"/>
      <c r="L498" s="2"/>
    </row>
    <row r="499" spans="3:12" ht="15.75" customHeight="1">
      <c r="C499" s="13"/>
      <c r="K499" s="2"/>
      <c r="L499" s="2"/>
    </row>
    <row r="500" spans="3:12" ht="15.75" customHeight="1">
      <c r="C500" s="13"/>
      <c r="K500" s="2"/>
      <c r="L500" s="2"/>
    </row>
    <row r="501" spans="3:12" ht="15.75" customHeight="1">
      <c r="C501" s="13"/>
      <c r="K501" s="2"/>
      <c r="L501" s="2"/>
    </row>
    <row r="502" spans="3:12" ht="15.75" customHeight="1">
      <c r="C502" s="13"/>
      <c r="K502" s="2"/>
      <c r="L502" s="2"/>
    </row>
    <row r="503" spans="3:12" ht="15.75" customHeight="1">
      <c r="C503" s="13"/>
      <c r="K503" s="2"/>
      <c r="L503" s="2"/>
    </row>
    <row r="504" spans="3:12" ht="15.75" customHeight="1">
      <c r="C504" s="13"/>
      <c r="K504" s="2"/>
      <c r="L504" s="2"/>
    </row>
    <row r="505" spans="3:12" ht="15.75" customHeight="1">
      <c r="C505" s="13"/>
      <c r="K505" s="2"/>
      <c r="L505" s="2"/>
    </row>
    <row r="506" spans="3:12" ht="15.75" customHeight="1">
      <c r="C506" s="13"/>
      <c r="K506" s="2"/>
      <c r="L506" s="2"/>
    </row>
    <row r="507" spans="3:12" ht="15.75" customHeight="1">
      <c r="C507" s="13"/>
      <c r="K507" s="2"/>
      <c r="L507" s="2"/>
    </row>
    <row r="508" spans="3:12" ht="15.75" customHeight="1">
      <c r="C508" s="13"/>
      <c r="K508" s="2"/>
      <c r="L508" s="2"/>
    </row>
    <row r="509" spans="3:12" ht="15.75" customHeight="1">
      <c r="C509" s="13"/>
      <c r="K509" s="2"/>
      <c r="L509" s="2"/>
    </row>
    <row r="510" spans="3:12" ht="15.75" customHeight="1">
      <c r="C510" s="13"/>
      <c r="K510" s="2"/>
      <c r="L510" s="2"/>
    </row>
    <row r="511" spans="3:12" ht="15.75" customHeight="1">
      <c r="C511" s="13"/>
      <c r="K511" s="2"/>
      <c r="L511" s="2"/>
    </row>
    <row r="512" spans="3:12" ht="15.75" customHeight="1">
      <c r="C512" s="13"/>
      <c r="K512" s="2"/>
      <c r="L512" s="2"/>
    </row>
    <row r="513" spans="3:12" ht="15.75" customHeight="1">
      <c r="C513" s="13"/>
      <c r="K513" s="2"/>
      <c r="L513" s="2"/>
    </row>
    <row r="514" spans="3:12" ht="15.75" customHeight="1">
      <c r="C514" s="13"/>
      <c r="K514" s="2"/>
      <c r="L514" s="2"/>
    </row>
    <row r="515" spans="3:12" ht="15.75" customHeight="1">
      <c r="C515" s="13"/>
      <c r="K515" s="2"/>
      <c r="L515" s="2"/>
    </row>
    <row r="516" spans="3:12" ht="15.75" customHeight="1">
      <c r="C516" s="13"/>
      <c r="K516" s="2"/>
      <c r="L516" s="2"/>
    </row>
    <row r="517" spans="3:12" ht="15.75" customHeight="1">
      <c r="C517" s="13"/>
      <c r="K517" s="2"/>
      <c r="L517" s="2"/>
    </row>
    <row r="518" spans="3:12" ht="15.75" customHeight="1">
      <c r="C518" s="13"/>
      <c r="K518" s="2"/>
      <c r="L518" s="2"/>
    </row>
    <row r="519" spans="3:12" ht="15.75" customHeight="1">
      <c r="C519" s="13"/>
      <c r="K519" s="2"/>
      <c r="L519" s="2"/>
    </row>
    <row r="520" spans="3:12" ht="15.75" customHeight="1">
      <c r="C520" s="13"/>
      <c r="K520" s="2"/>
      <c r="L520" s="2"/>
    </row>
    <row r="521" spans="3:12" ht="15.75" customHeight="1">
      <c r="C521" s="13"/>
      <c r="K521" s="2"/>
      <c r="L521" s="2"/>
    </row>
    <row r="522" spans="3:12" ht="15.75" customHeight="1">
      <c r="C522" s="13"/>
      <c r="K522" s="2"/>
      <c r="L522" s="2"/>
    </row>
    <row r="523" spans="3:12" ht="15.75" customHeight="1">
      <c r="C523" s="13"/>
      <c r="K523" s="2"/>
      <c r="L523" s="2"/>
    </row>
    <row r="524" spans="3:12" ht="15.75" customHeight="1">
      <c r="C524" s="13"/>
      <c r="K524" s="2"/>
      <c r="L524" s="2"/>
    </row>
    <row r="525" spans="3:12" ht="15.75" customHeight="1">
      <c r="C525" s="13"/>
      <c r="K525" s="2"/>
      <c r="L525" s="2"/>
    </row>
    <row r="526" spans="3:12" ht="15.75" customHeight="1">
      <c r="C526" s="13"/>
      <c r="K526" s="2"/>
      <c r="L526" s="2"/>
    </row>
    <row r="527" spans="3:12" ht="15.75" customHeight="1">
      <c r="C527" s="13"/>
      <c r="K527" s="2"/>
      <c r="L527" s="2"/>
    </row>
    <row r="528" spans="3:12" ht="15.75" customHeight="1">
      <c r="C528" s="13"/>
      <c r="K528" s="2"/>
      <c r="L528" s="2"/>
    </row>
    <row r="529" spans="3:12" ht="15.75" customHeight="1">
      <c r="C529" s="13"/>
      <c r="K529" s="2"/>
      <c r="L529" s="2"/>
    </row>
    <row r="530" spans="3:12" ht="15.75" customHeight="1">
      <c r="C530" s="13"/>
      <c r="K530" s="2"/>
      <c r="L530" s="2"/>
    </row>
    <row r="531" spans="3:12" ht="15.75" customHeight="1">
      <c r="C531" s="13"/>
      <c r="K531" s="2"/>
      <c r="L531" s="2"/>
    </row>
    <row r="532" spans="3:12" ht="15.75" customHeight="1">
      <c r="C532" s="13"/>
      <c r="K532" s="2"/>
      <c r="L532" s="2"/>
    </row>
    <row r="533" spans="3:12" ht="15.75" customHeight="1">
      <c r="C533" s="13"/>
      <c r="K533" s="2"/>
      <c r="L533" s="2"/>
    </row>
    <row r="534" spans="3:12" ht="15.75" customHeight="1">
      <c r="C534" s="13"/>
      <c r="K534" s="2"/>
      <c r="L534" s="2"/>
    </row>
    <row r="535" spans="3:12" ht="15.75" customHeight="1">
      <c r="C535" s="13"/>
      <c r="K535" s="2"/>
      <c r="L535" s="2"/>
    </row>
    <row r="536" spans="3:12" ht="15.75" customHeight="1">
      <c r="C536" s="13"/>
      <c r="K536" s="2"/>
      <c r="L536" s="2"/>
    </row>
    <row r="537" spans="3:12" ht="15.75" customHeight="1">
      <c r="C537" s="13"/>
      <c r="K537" s="2"/>
      <c r="L537" s="2"/>
    </row>
    <row r="538" spans="3:12" ht="15.75" customHeight="1">
      <c r="C538" s="13"/>
      <c r="K538" s="2"/>
      <c r="L538" s="2"/>
    </row>
    <row r="539" spans="3:12" ht="15.75" customHeight="1">
      <c r="C539" s="13"/>
      <c r="K539" s="2"/>
      <c r="L539" s="2"/>
    </row>
    <row r="540" spans="3:12" ht="15.75" customHeight="1">
      <c r="C540" s="13"/>
      <c r="K540" s="2"/>
      <c r="L540" s="2"/>
    </row>
    <row r="541" spans="3:12" ht="15.75" customHeight="1">
      <c r="C541" s="13"/>
      <c r="K541" s="2"/>
      <c r="L541" s="2"/>
    </row>
    <row r="542" spans="3:12" ht="15.75" customHeight="1">
      <c r="C542" s="13"/>
      <c r="K542" s="2"/>
      <c r="L542" s="2"/>
    </row>
    <row r="543" spans="3:12" ht="15.75" customHeight="1">
      <c r="C543" s="13"/>
      <c r="K543" s="2"/>
      <c r="L543" s="2"/>
    </row>
    <row r="544" spans="3:12" ht="15.75" customHeight="1">
      <c r="C544" s="13"/>
      <c r="K544" s="2"/>
      <c r="L544" s="2"/>
    </row>
    <row r="545" spans="3:12" ht="15.75" customHeight="1">
      <c r="C545" s="13"/>
      <c r="K545" s="2"/>
      <c r="L545" s="2"/>
    </row>
    <row r="546" spans="3:12" ht="15.75" customHeight="1">
      <c r="C546" s="13"/>
      <c r="K546" s="2"/>
      <c r="L546" s="2"/>
    </row>
    <row r="547" spans="3:12" ht="15.75" customHeight="1">
      <c r="C547" s="13"/>
      <c r="K547" s="2"/>
      <c r="L547" s="2"/>
    </row>
    <row r="548" spans="3:12" ht="15.75" customHeight="1">
      <c r="C548" s="13"/>
      <c r="K548" s="2"/>
      <c r="L548" s="2"/>
    </row>
    <row r="549" spans="3:12" ht="15.75" customHeight="1">
      <c r="C549" s="13"/>
      <c r="K549" s="2"/>
      <c r="L549" s="2"/>
    </row>
    <row r="550" spans="3:12" ht="15.75" customHeight="1">
      <c r="C550" s="13"/>
      <c r="K550" s="2"/>
      <c r="L550" s="2"/>
    </row>
    <row r="551" spans="3:12" ht="15.75" customHeight="1">
      <c r="C551" s="13"/>
      <c r="K551" s="2"/>
      <c r="L551" s="2"/>
    </row>
    <row r="552" spans="3:12" ht="15.75" customHeight="1">
      <c r="C552" s="13"/>
      <c r="K552" s="2"/>
      <c r="L552" s="2"/>
    </row>
    <row r="553" spans="3:12" ht="15.75" customHeight="1">
      <c r="C553" s="13"/>
      <c r="K553" s="2"/>
      <c r="L553" s="2"/>
    </row>
    <row r="554" spans="3:12" ht="15.75" customHeight="1">
      <c r="C554" s="13"/>
      <c r="K554" s="2"/>
      <c r="L554" s="2"/>
    </row>
    <row r="555" spans="3:12" ht="15.75" customHeight="1">
      <c r="C555" s="13"/>
      <c r="K555" s="2"/>
      <c r="L555" s="2"/>
    </row>
    <row r="556" spans="3:12" ht="15.75" customHeight="1">
      <c r="C556" s="13"/>
      <c r="K556" s="2"/>
      <c r="L556" s="2"/>
    </row>
    <row r="557" spans="3:12" ht="15.75" customHeight="1">
      <c r="C557" s="13"/>
      <c r="K557" s="2"/>
      <c r="L557" s="2"/>
    </row>
    <row r="558" spans="3:12" ht="15.75" customHeight="1">
      <c r="C558" s="13"/>
      <c r="K558" s="2"/>
      <c r="L558" s="2"/>
    </row>
    <row r="559" spans="3:12" ht="15.75" customHeight="1">
      <c r="C559" s="13"/>
      <c r="K559" s="2"/>
      <c r="L559" s="2"/>
    </row>
    <row r="560" spans="3:12" ht="15.75" customHeight="1">
      <c r="C560" s="13"/>
      <c r="K560" s="2"/>
      <c r="L560" s="2"/>
    </row>
    <row r="561" spans="3:12" ht="15.75" customHeight="1">
      <c r="C561" s="13"/>
      <c r="K561" s="2"/>
      <c r="L561" s="2"/>
    </row>
    <row r="562" spans="3:12" ht="15.75" customHeight="1">
      <c r="C562" s="13"/>
      <c r="K562" s="2"/>
      <c r="L562" s="2"/>
    </row>
    <row r="563" spans="3:12" ht="15.75" customHeight="1">
      <c r="C563" s="13"/>
      <c r="K563" s="2"/>
      <c r="L563" s="2"/>
    </row>
    <row r="564" spans="3:12" ht="15.75" customHeight="1">
      <c r="C564" s="13"/>
      <c r="K564" s="2"/>
      <c r="L564" s="2"/>
    </row>
    <row r="565" spans="3:12" ht="15.75" customHeight="1">
      <c r="C565" s="13"/>
      <c r="K565" s="2"/>
      <c r="L565" s="2"/>
    </row>
    <row r="566" spans="3:12" ht="15.75" customHeight="1">
      <c r="C566" s="13"/>
      <c r="K566" s="2"/>
      <c r="L566" s="2"/>
    </row>
    <row r="567" spans="3:12" ht="15.75" customHeight="1">
      <c r="C567" s="13"/>
      <c r="K567" s="2"/>
      <c r="L567" s="2"/>
    </row>
    <row r="568" spans="3:12" ht="15.75" customHeight="1">
      <c r="C568" s="13"/>
      <c r="K568" s="2"/>
      <c r="L568" s="2"/>
    </row>
    <row r="569" spans="3:12" ht="15.75" customHeight="1">
      <c r="C569" s="13"/>
      <c r="K569" s="2"/>
      <c r="L569" s="2"/>
    </row>
    <row r="570" spans="3:12" ht="15.75" customHeight="1">
      <c r="C570" s="13"/>
      <c r="K570" s="2"/>
      <c r="L570" s="2"/>
    </row>
    <row r="571" spans="3:12" ht="15.75" customHeight="1">
      <c r="C571" s="13"/>
      <c r="K571" s="2"/>
      <c r="L571" s="2"/>
    </row>
    <row r="572" spans="3:12" ht="15.75" customHeight="1">
      <c r="C572" s="13"/>
      <c r="K572" s="2"/>
      <c r="L572" s="2"/>
    </row>
    <row r="573" spans="3:12" ht="15.75" customHeight="1">
      <c r="C573" s="13"/>
      <c r="K573" s="2"/>
      <c r="L573" s="2"/>
    </row>
    <row r="574" spans="3:12" ht="15.75" customHeight="1">
      <c r="C574" s="13"/>
      <c r="K574" s="2"/>
      <c r="L574" s="2"/>
    </row>
    <row r="575" spans="3:12" ht="15.75" customHeight="1">
      <c r="C575" s="13"/>
      <c r="K575" s="2"/>
      <c r="L575" s="2"/>
    </row>
    <row r="576" spans="3:12" ht="15.75" customHeight="1">
      <c r="C576" s="13"/>
      <c r="K576" s="2"/>
      <c r="L576" s="2"/>
    </row>
    <row r="577" spans="3:12" ht="15.75" customHeight="1">
      <c r="C577" s="13"/>
      <c r="K577" s="2"/>
      <c r="L577" s="2"/>
    </row>
    <row r="578" spans="3:12" ht="15.75" customHeight="1">
      <c r="C578" s="13"/>
      <c r="K578" s="2"/>
      <c r="L578" s="2"/>
    </row>
    <row r="579" spans="3:12" ht="15.75" customHeight="1">
      <c r="C579" s="13"/>
      <c r="K579" s="2"/>
      <c r="L579" s="2"/>
    </row>
    <row r="580" spans="3:12" ht="15.75" customHeight="1">
      <c r="C580" s="13"/>
      <c r="K580" s="2"/>
      <c r="L580" s="2"/>
    </row>
    <row r="581" spans="3:12" ht="15.75" customHeight="1">
      <c r="C581" s="13"/>
      <c r="K581" s="2"/>
      <c r="L581" s="2"/>
    </row>
    <row r="582" spans="3:12" ht="15.75" customHeight="1">
      <c r="C582" s="13"/>
      <c r="K582" s="2"/>
      <c r="L582" s="2"/>
    </row>
    <row r="583" spans="3:12" ht="15.75" customHeight="1">
      <c r="C583" s="13"/>
      <c r="K583" s="2"/>
      <c r="L583" s="2"/>
    </row>
    <row r="584" spans="3:12" ht="15.75" customHeight="1">
      <c r="C584" s="13"/>
      <c r="K584" s="2"/>
      <c r="L584" s="2"/>
    </row>
    <row r="585" spans="3:12" ht="15.75" customHeight="1">
      <c r="C585" s="13"/>
      <c r="K585" s="2"/>
      <c r="L585" s="2"/>
    </row>
    <row r="586" spans="3:12" ht="15.75" customHeight="1">
      <c r="C586" s="13"/>
      <c r="K586" s="2"/>
      <c r="L586" s="2"/>
    </row>
    <row r="587" spans="3:12" ht="15.75" customHeight="1">
      <c r="C587" s="13"/>
      <c r="K587" s="2"/>
      <c r="L587" s="2"/>
    </row>
    <row r="588" spans="3:12" ht="15.75" customHeight="1">
      <c r="C588" s="13"/>
      <c r="K588" s="2"/>
      <c r="L588" s="2"/>
    </row>
    <row r="589" spans="3:12" ht="15.75" customHeight="1">
      <c r="C589" s="13"/>
      <c r="K589" s="2"/>
      <c r="L589" s="2"/>
    </row>
    <row r="590" spans="3:12" ht="15.75" customHeight="1">
      <c r="C590" s="13"/>
      <c r="K590" s="2"/>
      <c r="L590" s="2"/>
    </row>
    <row r="591" spans="3:12" ht="15.75" customHeight="1">
      <c r="C591" s="13"/>
      <c r="K591" s="2"/>
      <c r="L591" s="2"/>
    </row>
    <row r="592" spans="3:12" ht="15.75" customHeight="1">
      <c r="C592" s="13"/>
      <c r="K592" s="2"/>
      <c r="L592" s="2"/>
    </row>
    <row r="593" spans="3:12" ht="15.75" customHeight="1">
      <c r="C593" s="13"/>
      <c r="K593" s="2"/>
      <c r="L593" s="2"/>
    </row>
    <row r="594" spans="3:12" ht="15.75" customHeight="1">
      <c r="C594" s="13"/>
      <c r="K594" s="2"/>
      <c r="L594" s="2"/>
    </row>
    <row r="595" spans="3:12" ht="15.75" customHeight="1">
      <c r="C595" s="13"/>
      <c r="K595" s="2"/>
      <c r="L595" s="2"/>
    </row>
    <row r="596" spans="3:12" ht="15.75" customHeight="1">
      <c r="C596" s="13"/>
      <c r="K596" s="2"/>
      <c r="L596" s="2"/>
    </row>
    <row r="597" spans="3:12" ht="15.75" customHeight="1">
      <c r="C597" s="13"/>
      <c r="K597" s="2"/>
      <c r="L597" s="2"/>
    </row>
    <row r="598" spans="3:12" ht="15.75" customHeight="1">
      <c r="C598" s="13"/>
      <c r="K598" s="2"/>
      <c r="L598" s="2"/>
    </row>
    <row r="599" spans="3:12" ht="15.75" customHeight="1">
      <c r="C599" s="13"/>
      <c r="K599" s="2"/>
      <c r="L599" s="2"/>
    </row>
    <row r="600" spans="3:12" ht="15.75" customHeight="1">
      <c r="C600" s="13"/>
      <c r="K600" s="2"/>
      <c r="L600" s="2"/>
    </row>
    <row r="601" spans="3:12" ht="15.75" customHeight="1">
      <c r="C601" s="13"/>
      <c r="K601" s="2"/>
      <c r="L601" s="2"/>
    </row>
    <row r="602" spans="3:12" ht="15.75" customHeight="1">
      <c r="C602" s="13"/>
      <c r="K602" s="2"/>
      <c r="L602" s="2"/>
    </row>
    <row r="603" spans="3:12" ht="15.75" customHeight="1">
      <c r="C603" s="13"/>
      <c r="K603" s="2"/>
      <c r="L603" s="2"/>
    </row>
    <row r="604" spans="3:12" ht="15.75" customHeight="1">
      <c r="C604" s="13"/>
      <c r="K604" s="2"/>
      <c r="L604" s="2"/>
    </row>
    <row r="605" spans="3:12" ht="15.75" customHeight="1">
      <c r="C605" s="13"/>
      <c r="K605" s="2"/>
      <c r="L605" s="2"/>
    </row>
    <row r="606" spans="3:12" ht="15.75" customHeight="1">
      <c r="C606" s="13"/>
      <c r="K606" s="2"/>
      <c r="L606" s="2"/>
    </row>
    <row r="607" spans="3:12" ht="15.75" customHeight="1">
      <c r="C607" s="13"/>
      <c r="K607" s="2"/>
      <c r="L607" s="2"/>
    </row>
    <row r="608" spans="3:12" ht="15.75" customHeight="1">
      <c r="C608" s="13"/>
      <c r="K608" s="2"/>
      <c r="L608" s="2"/>
    </row>
    <row r="609" spans="3:12" ht="15.75" customHeight="1">
      <c r="C609" s="13"/>
      <c r="K609" s="2"/>
      <c r="L609" s="2"/>
    </row>
    <row r="610" spans="3:12" ht="15.75" customHeight="1">
      <c r="C610" s="13"/>
      <c r="K610" s="2"/>
      <c r="L610" s="2"/>
    </row>
    <row r="611" spans="3:12" ht="15.75" customHeight="1">
      <c r="C611" s="13"/>
      <c r="K611" s="2"/>
      <c r="L611" s="2"/>
    </row>
    <row r="612" spans="3:12" ht="15.75" customHeight="1">
      <c r="C612" s="13"/>
      <c r="K612" s="2"/>
      <c r="L612" s="2"/>
    </row>
    <row r="613" spans="3:12" ht="15.75" customHeight="1">
      <c r="C613" s="13"/>
      <c r="K613" s="2"/>
      <c r="L613" s="2"/>
    </row>
    <row r="614" spans="3:12" ht="15.75" customHeight="1">
      <c r="C614" s="13"/>
      <c r="K614" s="2"/>
      <c r="L614" s="2"/>
    </row>
    <row r="615" spans="3:12" ht="15.75" customHeight="1">
      <c r="C615" s="13"/>
      <c r="K615" s="2"/>
      <c r="L615" s="2"/>
    </row>
    <row r="616" spans="3:12" ht="15.75" customHeight="1">
      <c r="C616" s="13"/>
      <c r="K616" s="2"/>
      <c r="L616" s="2"/>
    </row>
    <row r="617" spans="3:12" ht="15.75" customHeight="1">
      <c r="C617" s="13"/>
      <c r="K617" s="2"/>
      <c r="L617" s="2"/>
    </row>
    <row r="618" spans="3:12" ht="15.75" customHeight="1">
      <c r="C618" s="13"/>
      <c r="K618" s="2"/>
      <c r="L618" s="2"/>
    </row>
    <row r="619" spans="3:12" ht="15.75" customHeight="1">
      <c r="C619" s="13"/>
      <c r="K619" s="2"/>
      <c r="L619" s="2"/>
    </row>
    <row r="620" spans="3:12" ht="15.75" customHeight="1">
      <c r="C620" s="13"/>
      <c r="K620" s="2"/>
      <c r="L620" s="2"/>
    </row>
    <row r="621" spans="3:12" ht="15.75" customHeight="1">
      <c r="C621" s="13"/>
      <c r="K621" s="2"/>
      <c r="L621" s="2"/>
    </row>
    <row r="622" spans="3:12" ht="15.75" customHeight="1">
      <c r="C622" s="13"/>
      <c r="K622" s="2"/>
      <c r="L622" s="2"/>
    </row>
    <row r="623" spans="3:12" ht="15.75" customHeight="1">
      <c r="C623" s="13"/>
      <c r="K623" s="2"/>
      <c r="L623" s="2"/>
    </row>
    <row r="624" spans="3:12" ht="15.75" customHeight="1">
      <c r="C624" s="13"/>
      <c r="K624" s="2"/>
      <c r="L624" s="2"/>
    </row>
    <row r="625" spans="3:12" ht="15.75" customHeight="1">
      <c r="C625" s="13"/>
      <c r="K625" s="2"/>
      <c r="L625" s="2"/>
    </row>
    <row r="626" spans="3:12" ht="15.75" customHeight="1">
      <c r="C626" s="13"/>
      <c r="K626" s="2"/>
      <c r="L626" s="2"/>
    </row>
    <row r="627" spans="3:12" ht="15.75" customHeight="1">
      <c r="C627" s="13"/>
      <c r="K627" s="2"/>
      <c r="L627" s="2"/>
    </row>
    <row r="628" spans="3:12" ht="15.75" customHeight="1">
      <c r="C628" s="13"/>
      <c r="K628" s="2"/>
      <c r="L628" s="2"/>
    </row>
    <row r="629" spans="3:12" ht="15.75" customHeight="1">
      <c r="C629" s="13"/>
      <c r="K629" s="2"/>
      <c r="L629" s="2"/>
    </row>
    <row r="630" spans="3:12" ht="15.75" customHeight="1">
      <c r="C630" s="13"/>
      <c r="K630" s="2"/>
      <c r="L630" s="2"/>
    </row>
    <row r="631" spans="3:12" ht="15.75" customHeight="1">
      <c r="C631" s="13"/>
      <c r="K631" s="2"/>
      <c r="L631" s="2"/>
    </row>
    <row r="632" spans="3:12" ht="15.75" customHeight="1">
      <c r="C632" s="13"/>
      <c r="K632" s="2"/>
      <c r="L632" s="2"/>
    </row>
    <row r="633" spans="3:12" ht="15.75" customHeight="1">
      <c r="C633" s="13"/>
      <c r="K633" s="2"/>
      <c r="L633" s="2"/>
    </row>
    <row r="634" spans="3:12" ht="15.75" customHeight="1">
      <c r="C634" s="13"/>
      <c r="K634" s="2"/>
      <c r="L634" s="2"/>
    </row>
    <row r="635" spans="3:12" ht="15.75" customHeight="1">
      <c r="C635" s="13"/>
      <c r="K635" s="2"/>
      <c r="L635" s="2"/>
    </row>
    <row r="636" spans="3:12" ht="15.75" customHeight="1">
      <c r="C636" s="13"/>
      <c r="K636" s="2"/>
      <c r="L636" s="2"/>
    </row>
    <row r="637" spans="3:12" ht="15.75" customHeight="1">
      <c r="C637" s="13"/>
      <c r="K637" s="2"/>
      <c r="L637" s="2"/>
    </row>
    <row r="638" spans="3:12" ht="15.75" customHeight="1">
      <c r="C638" s="13"/>
      <c r="K638" s="2"/>
      <c r="L638" s="2"/>
    </row>
    <row r="639" spans="3:12" ht="15.75" customHeight="1">
      <c r="C639" s="13"/>
      <c r="K639" s="2"/>
      <c r="L639" s="2"/>
    </row>
    <row r="640" spans="3:12" ht="15.75" customHeight="1">
      <c r="C640" s="13"/>
      <c r="K640" s="2"/>
      <c r="L640" s="2"/>
    </row>
    <row r="641" spans="3:12" ht="15.75" customHeight="1">
      <c r="C641" s="13"/>
      <c r="K641" s="2"/>
      <c r="L641" s="2"/>
    </row>
    <row r="642" spans="3:12" ht="15.75" customHeight="1">
      <c r="C642" s="13"/>
      <c r="K642" s="2"/>
      <c r="L642" s="2"/>
    </row>
    <row r="643" spans="3:12" ht="15.75" customHeight="1">
      <c r="C643" s="13"/>
      <c r="K643" s="2"/>
      <c r="L643" s="2"/>
    </row>
    <row r="644" spans="3:12" ht="15.75" customHeight="1">
      <c r="C644" s="13"/>
      <c r="K644" s="2"/>
      <c r="L644" s="2"/>
    </row>
    <row r="645" spans="3:12" ht="15.75" customHeight="1">
      <c r="C645" s="13"/>
      <c r="K645" s="2"/>
      <c r="L645" s="2"/>
    </row>
    <row r="646" spans="3:12" ht="15.75" customHeight="1">
      <c r="C646" s="13"/>
      <c r="K646" s="2"/>
      <c r="L646" s="2"/>
    </row>
    <row r="647" spans="3:12" ht="15.75" customHeight="1">
      <c r="C647" s="13"/>
      <c r="K647" s="2"/>
      <c r="L647" s="2"/>
    </row>
    <row r="648" spans="3:12" ht="15.75" customHeight="1">
      <c r="C648" s="13"/>
      <c r="K648" s="2"/>
      <c r="L648" s="2"/>
    </row>
    <row r="649" spans="3:12" ht="15.75" customHeight="1">
      <c r="C649" s="13"/>
      <c r="K649" s="2"/>
      <c r="L649" s="2"/>
    </row>
    <row r="650" spans="3:12" ht="15.75" customHeight="1">
      <c r="C650" s="13"/>
      <c r="K650" s="2"/>
      <c r="L650" s="2"/>
    </row>
    <row r="651" spans="3:12" ht="15.75" customHeight="1">
      <c r="C651" s="13"/>
      <c r="K651" s="2"/>
      <c r="L651" s="2"/>
    </row>
    <row r="652" spans="3:12" ht="15.75" customHeight="1">
      <c r="C652" s="13"/>
      <c r="K652" s="2"/>
      <c r="L652" s="2"/>
    </row>
    <row r="653" spans="3:12" ht="15.75" customHeight="1">
      <c r="C653" s="13"/>
      <c r="K653" s="2"/>
      <c r="L653" s="2"/>
    </row>
    <row r="654" spans="3:12" ht="15.75" customHeight="1">
      <c r="C654" s="13"/>
      <c r="K654" s="2"/>
      <c r="L654" s="2"/>
    </row>
    <row r="655" spans="3:12" ht="15.75" customHeight="1">
      <c r="C655" s="13"/>
      <c r="K655" s="2"/>
      <c r="L655" s="2"/>
    </row>
    <row r="656" spans="3:12" ht="15.75" customHeight="1">
      <c r="C656" s="13"/>
      <c r="K656" s="2"/>
      <c r="L656" s="2"/>
    </row>
    <row r="657" spans="3:12" ht="15.75" customHeight="1">
      <c r="C657" s="13"/>
      <c r="K657" s="2"/>
      <c r="L657" s="2"/>
    </row>
    <row r="658" spans="3:12" ht="15.75" customHeight="1">
      <c r="C658" s="13"/>
      <c r="K658" s="2"/>
      <c r="L658" s="2"/>
    </row>
    <row r="659" spans="3:12" ht="15.75" customHeight="1">
      <c r="C659" s="13"/>
      <c r="K659" s="2"/>
      <c r="L659" s="2"/>
    </row>
    <row r="660" spans="3:12" ht="15.75" customHeight="1">
      <c r="C660" s="13"/>
      <c r="K660" s="2"/>
      <c r="L660" s="2"/>
    </row>
    <row r="661" spans="3:12" ht="15.75" customHeight="1">
      <c r="C661" s="13"/>
      <c r="K661" s="2"/>
      <c r="L661" s="2"/>
    </row>
    <row r="662" spans="3:12" ht="15.75" customHeight="1">
      <c r="C662" s="13"/>
      <c r="K662" s="2"/>
      <c r="L662" s="2"/>
    </row>
    <row r="663" spans="3:12" ht="15.75" customHeight="1">
      <c r="C663" s="13"/>
      <c r="K663" s="2"/>
      <c r="L663" s="2"/>
    </row>
    <row r="664" spans="3:12" ht="15.75" customHeight="1">
      <c r="C664" s="13"/>
      <c r="K664" s="2"/>
      <c r="L664" s="2"/>
    </row>
    <row r="665" spans="3:12" ht="15.75" customHeight="1">
      <c r="C665" s="13"/>
      <c r="K665" s="2"/>
      <c r="L665" s="2"/>
    </row>
    <row r="666" spans="3:12" ht="15.75" customHeight="1">
      <c r="C666" s="13"/>
      <c r="K666" s="2"/>
      <c r="L666" s="2"/>
    </row>
    <row r="667" spans="3:12" ht="15.75" customHeight="1">
      <c r="C667" s="13"/>
      <c r="K667" s="2"/>
      <c r="L667" s="2"/>
    </row>
    <row r="668" spans="3:12" ht="15.75" customHeight="1">
      <c r="C668" s="13"/>
      <c r="K668" s="2"/>
      <c r="L668" s="2"/>
    </row>
    <row r="669" spans="3:12" ht="15.75" customHeight="1">
      <c r="C669" s="13"/>
      <c r="K669" s="2"/>
      <c r="L669" s="2"/>
    </row>
    <row r="670" spans="3:12" ht="15.75" customHeight="1">
      <c r="C670" s="13"/>
      <c r="K670" s="2"/>
      <c r="L670" s="2"/>
    </row>
    <row r="671" spans="3:12" ht="15.75" customHeight="1">
      <c r="C671" s="13"/>
      <c r="K671" s="2"/>
      <c r="L671" s="2"/>
    </row>
    <row r="672" spans="3:12" ht="15.75" customHeight="1">
      <c r="C672" s="13"/>
      <c r="K672" s="2"/>
      <c r="L672" s="2"/>
    </row>
    <row r="673" spans="3:12" ht="15.75" customHeight="1">
      <c r="C673" s="13"/>
      <c r="K673" s="2"/>
      <c r="L673" s="2"/>
    </row>
    <row r="674" spans="3:12" ht="15.75" customHeight="1">
      <c r="C674" s="13"/>
      <c r="K674" s="2"/>
      <c r="L674" s="2"/>
    </row>
    <row r="675" spans="3:12" ht="15.75" customHeight="1">
      <c r="C675" s="13"/>
      <c r="K675" s="2"/>
      <c r="L675" s="2"/>
    </row>
    <row r="676" spans="3:12" ht="15.75" customHeight="1">
      <c r="C676" s="13"/>
      <c r="K676" s="2"/>
      <c r="L676" s="2"/>
    </row>
    <row r="677" spans="3:12" ht="15.75" customHeight="1">
      <c r="C677" s="13"/>
      <c r="K677" s="2"/>
      <c r="L677" s="2"/>
    </row>
    <row r="678" spans="3:12" ht="15.75" customHeight="1">
      <c r="C678" s="13"/>
      <c r="K678" s="2"/>
      <c r="L678" s="2"/>
    </row>
    <row r="679" spans="3:12" ht="15.75" customHeight="1">
      <c r="C679" s="13"/>
      <c r="K679" s="2"/>
      <c r="L679" s="2"/>
    </row>
    <row r="680" spans="3:12" ht="15.75" customHeight="1">
      <c r="C680" s="13"/>
      <c r="K680" s="2"/>
      <c r="L680" s="2"/>
    </row>
    <row r="681" spans="3:12" ht="15.75" customHeight="1">
      <c r="C681" s="13"/>
      <c r="K681" s="2"/>
      <c r="L681" s="2"/>
    </row>
    <row r="682" spans="3:12" ht="15.75" customHeight="1">
      <c r="C682" s="13"/>
      <c r="K682" s="2"/>
      <c r="L682" s="2"/>
    </row>
    <row r="683" spans="3:12" ht="15.75" customHeight="1">
      <c r="C683" s="13"/>
      <c r="K683" s="2"/>
      <c r="L683" s="2"/>
    </row>
    <row r="684" spans="3:12" ht="15.75" customHeight="1">
      <c r="C684" s="13"/>
      <c r="K684" s="2"/>
      <c r="L684" s="2"/>
    </row>
    <row r="685" spans="3:12" ht="15.75" customHeight="1">
      <c r="C685" s="13"/>
      <c r="K685" s="2"/>
      <c r="L685" s="2"/>
    </row>
    <row r="686" spans="3:12" ht="15.75" customHeight="1">
      <c r="C686" s="13"/>
      <c r="K686" s="2"/>
      <c r="L686" s="2"/>
    </row>
    <row r="687" spans="3:12" ht="15.75" customHeight="1">
      <c r="C687" s="13"/>
      <c r="K687" s="2"/>
      <c r="L687" s="2"/>
    </row>
    <row r="688" spans="3:12" ht="15.75" customHeight="1">
      <c r="C688" s="13"/>
      <c r="K688" s="2"/>
      <c r="L688" s="2"/>
    </row>
    <row r="689" spans="3:12" ht="15.75" customHeight="1">
      <c r="C689" s="13"/>
      <c r="K689" s="2"/>
      <c r="L689" s="2"/>
    </row>
    <row r="690" spans="3:12" ht="15.75" customHeight="1">
      <c r="C690" s="13"/>
      <c r="K690" s="2"/>
      <c r="L690" s="2"/>
    </row>
    <row r="691" spans="3:12" ht="15.75" customHeight="1">
      <c r="C691" s="13"/>
      <c r="K691" s="2"/>
      <c r="L691" s="2"/>
    </row>
    <row r="692" spans="3:12" ht="15.75" customHeight="1">
      <c r="C692" s="13"/>
      <c r="K692" s="2"/>
      <c r="L692" s="2"/>
    </row>
    <row r="693" spans="3:12" ht="15.75" customHeight="1">
      <c r="C693" s="13"/>
      <c r="K693" s="2"/>
      <c r="L693" s="2"/>
    </row>
    <row r="694" spans="3:12" ht="15.75" customHeight="1">
      <c r="C694" s="13"/>
      <c r="K694" s="2"/>
      <c r="L694" s="2"/>
    </row>
    <row r="695" spans="3:12" ht="15.75" customHeight="1">
      <c r="C695" s="13"/>
      <c r="K695" s="2"/>
      <c r="L695" s="2"/>
    </row>
    <row r="696" spans="3:12" ht="15.75" customHeight="1">
      <c r="C696" s="13"/>
      <c r="K696" s="2"/>
      <c r="L696" s="2"/>
    </row>
    <row r="697" spans="3:12" ht="15.75" customHeight="1">
      <c r="C697" s="13"/>
      <c r="K697" s="2"/>
      <c r="L697" s="2"/>
    </row>
    <row r="698" spans="3:12" ht="15.75" customHeight="1">
      <c r="C698" s="13"/>
      <c r="K698" s="2"/>
      <c r="L698" s="2"/>
    </row>
    <row r="699" spans="3:12" ht="15.75" customHeight="1">
      <c r="C699" s="13"/>
      <c r="K699" s="2"/>
      <c r="L699" s="2"/>
    </row>
    <row r="700" spans="3:12" ht="15.75" customHeight="1">
      <c r="C700" s="13"/>
      <c r="K700" s="2"/>
      <c r="L700" s="2"/>
    </row>
    <row r="701" spans="3:12" ht="15.75" customHeight="1">
      <c r="C701" s="13"/>
      <c r="K701" s="2"/>
      <c r="L701" s="2"/>
    </row>
    <row r="702" spans="3:12" ht="15.75" customHeight="1">
      <c r="C702" s="13"/>
      <c r="K702" s="2"/>
      <c r="L702" s="2"/>
    </row>
    <row r="703" spans="3:12" ht="15.75" customHeight="1">
      <c r="C703" s="13"/>
      <c r="K703" s="2"/>
      <c r="L703" s="2"/>
    </row>
    <row r="704" spans="3:12" ht="15.75" customHeight="1">
      <c r="C704" s="13"/>
      <c r="K704" s="2"/>
      <c r="L704" s="2"/>
    </row>
    <row r="705" spans="3:12" ht="15.75" customHeight="1">
      <c r="C705" s="13"/>
      <c r="K705" s="2"/>
      <c r="L705" s="2"/>
    </row>
    <row r="706" spans="3:12" ht="15.75" customHeight="1">
      <c r="C706" s="13"/>
      <c r="K706" s="2"/>
      <c r="L706" s="2"/>
    </row>
    <row r="707" spans="3:12" ht="15.75" customHeight="1">
      <c r="C707" s="13"/>
      <c r="K707" s="2"/>
      <c r="L707" s="2"/>
    </row>
    <row r="708" spans="3:12" ht="15.75" customHeight="1">
      <c r="C708" s="13"/>
      <c r="K708" s="2"/>
      <c r="L708" s="2"/>
    </row>
    <row r="709" spans="3:12" ht="15.75" customHeight="1">
      <c r="C709" s="13"/>
      <c r="K709" s="2"/>
      <c r="L709" s="2"/>
    </row>
    <row r="710" spans="3:12" ht="15.75" customHeight="1">
      <c r="C710" s="13"/>
      <c r="K710" s="2"/>
      <c r="L710" s="2"/>
    </row>
    <row r="711" spans="3:12" ht="15.75" customHeight="1">
      <c r="C711" s="13"/>
      <c r="K711" s="2"/>
      <c r="L711" s="2"/>
    </row>
    <row r="712" spans="3:12" ht="15.75" customHeight="1">
      <c r="C712" s="13"/>
      <c r="K712" s="2"/>
      <c r="L712" s="2"/>
    </row>
    <row r="713" spans="3:12" ht="15.75" customHeight="1">
      <c r="C713" s="13"/>
      <c r="K713" s="2"/>
      <c r="L713" s="2"/>
    </row>
    <row r="714" spans="3:12" ht="15.75" customHeight="1">
      <c r="C714" s="13"/>
      <c r="K714" s="2"/>
      <c r="L714" s="2"/>
    </row>
    <row r="715" spans="3:12" ht="15.75" customHeight="1">
      <c r="C715" s="13"/>
      <c r="K715" s="2"/>
      <c r="L715" s="2"/>
    </row>
    <row r="716" spans="3:12" ht="15.75" customHeight="1">
      <c r="C716" s="13"/>
      <c r="K716" s="2"/>
      <c r="L716" s="2"/>
    </row>
    <row r="717" spans="3:12" ht="15.75" customHeight="1">
      <c r="C717" s="13"/>
      <c r="K717" s="2"/>
      <c r="L717" s="2"/>
    </row>
    <row r="718" spans="3:12" ht="15.75" customHeight="1">
      <c r="C718" s="13"/>
      <c r="K718" s="2"/>
      <c r="L718" s="2"/>
    </row>
    <row r="719" spans="3:12" ht="15.75" customHeight="1">
      <c r="C719" s="13"/>
      <c r="K719" s="2"/>
      <c r="L719" s="2"/>
    </row>
    <row r="720" spans="3:12" ht="15.75" customHeight="1">
      <c r="C720" s="13"/>
      <c r="K720" s="2"/>
      <c r="L720" s="2"/>
    </row>
    <row r="721" spans="3:12" ht="15.75" customHeight="1">
      <c r="C721" s="13"/>
      <c r="K721" s="2"/>
      <c r="L721" s="2"/>
    </row>
    <row r="722" spans="3:12" ht="15.75" customHeight="1">
      <c r="C722" s="13"/>
      <c r="K722" s="2"/>
      <c r="L722" s="2"/>
    </row>
    <row r="723" spans="3:12" ht="15.75" customHeight="1">
      <c r="C723" s="13"/>
      <c r="K723" s="2"/>
      <c r="L723" s="2"/>
    </row>
    <row r="724" spans="3:12" ht="15.75" customHeight="1">
      <c r="C724" s="13"/>
      <c r="K724" s="2"/>
      <c r="L724" s="2"/>
    </row>
    <row r="725" spans="3:12" ht="15.75" customHeight="1">
      <c r="C725" s="13"/>
      <c r="K725" s="2"/>
      <c r="L725" s="2"/>
    </row>
    <row r="726" spans="3:12" ht="15.75" customHeight="1">
      <c r="C726" s="13"/>
      <c r="K726" s="2"/>
      <c r="L726" s="2"/>
    </row>
    <row r="727" spans="3:12" ht="15.75" customHeight="1">
      <c r="C727" s="13"/>
      <c r="K727" s="2"/>
      <c r="L727" s="2"/>
    </row>
    <row r="728" spans="3:12" ht="15.75" customHeight="1">
      <c r="C728" s="13"/>
      <c r="K728" s="2"/>
      <c r="L728" s="2"/>
    </row>
    <row r="729" spans="3:12" ht="15.75" customHeight="1">
      <c r="C729" s="13"/>
      <c r="K729" s="2"/>
      <c r="L729" s="2"/>
    </row>
    <row r="730" spans="3:12" ht="15.75" customHeight="1">
      <c r="C730" s="13"/>
      <c r="K730" s="2"/>
      <c r="L730" s="2"/>
    </row>
    <row r="731" spans="3:12" ht="15.75" customHeight="1">
      <c r="C731" s="13"/>
      <c r="K731" s="2"/>
      <c r="L731" s="2"/>
    </row>
    <row r="732" spans="3:12" ht="15.75" customHeight="1">
      <c r="C732" s="13"/>
      <c r="K732" s="2"/>
      <c r="L732" s="2"/>
    </row>
    <row r="733" spans="3:12" ht="15.75" customHeight="1">
      <c r="C733" s="13"/>
      <c r="K733" s="2"/>
      <c r="L733" s="2"/>
    </row>
    <row r="734" spans="3:12" ht="15.75" customHeight="1">
      <c r="C734" s="13"/>
      <c r="K734" s="2"/>
      <c r="L734" s="2"/>
    </row>
    <row r="735" spans="3:12" ht="15.75" customHeight="1">
      <c r="C735" s="13"/>
      <c r="K735" s="2"/>
      <c r="L735" s="2"/>
    </row>
    <row r="736" spans="3:12" ht="15.75" customHeight="1">
      <c r="C736" s="13"/>
      <c r="K736" s="2"/>
      <c r="L736" s="2"/>
    </row>
    <row r="737" spans="3:12" ht="15.75" customHeight="1">
      <c r="C737" s="13"/>
      <c r="K737" s="2"/>
      <c r="L737" s="2"/>
    </row>
    <row r="738" spans="3:12" ht="15.75" customHeight="1">
      <c r="C738" s="13"/>
      <c r="K738" s="2"/>
      <c r="L738" s="2"/>
    </row>
    <row r="739" spans="3:12" ht="15.75" customHeight="1">
      <c r="C739" s="13"/>
      <c r="K739" s="2"/>
      <c r="L739" s="2"/>
    </row>
    <row r="740" spans="3:12" ht="15.75" customHeight="1">
      <c r="C740" s="13"/>
      <c r="K740" s="2"/>
      <c r="L740" s="2"/>
    </row>
    <row r="741" spans="3:12" ht="15.75" customHeight="1">
      <c r="C741" s="13"/>
      <c r="K741" s="2"/>
      <c r="L741" s="2"/>
    </row>
    <row r="742" spans="3:12" ht="15.75" customHeight="1">
      <c r="C742" s="13"/>
      <c r="K742" s="2"/>
      <c r="L742" s="2"/>
    </row>
    <row r="743" spans="3:12" ht="15.75" customHeight="1">
      <c r="C743" s="13"/>
      <c r="K743" s="2"/>
      <c r="L743" s="2"/>
    </row>
    <row r="744" spans="3:12" ht="15.75" customHeight="1">
      <c r="C744" s="13"/>
      <c r="K744" s="2"/>
      <c r="L744" s="2"/>
    </row>
    <row r="745" spans="3:12" ht="15.75" customHeight="1">
      <c r="C745" s="13"/>
      <c r="K745" s="2"/>
      <c r="L745" s="2"/>
    </row>
    <row r="746" spans="3:12" ht="15.75" customHeight="1">
      <c r="C746" s="13"/>
      <c r="K746" s="2"/>
      <c r="L746" s="2"/>
    </row>
    <row r="747" spans="3:12" ht="15.75" customHeight="1">
      <c r="C747" s="13"/>
      <c r="K747" s="2"/>
      <c r="L747" s="2"/>
    </row>
    <row r="748" spans="3:12" ht="15.75" customHeight="1">
      <c r="C748" s="13"/>
      <c r="K748" s="2"/>
      <c r="L748" s="2"/>
    </row>
    <row r="749" spans="3:12" ht="15.75" customHeight="1">
      <c r="C749" s="13"/>
      <c r="K749" s="2"/>
      <c r="L749" s="2"/>
    </row>
    <row r="750" spans="3:12" ht="15.75" customHeight="1">
      <c r="C750" s="13"/>
      <c r="K750" s="2"/>
      <c r="L750" s="2"/>
    </row>
    <row r="751" spans="3:12" ht="15.75" customHeight="1">
      <c r="C751" s="13"/>
      <c r="K751" s="2"/>
      <c r="L751" s="2"/>
    </row>
    <row r="752" spans="3:12" ht="15.75" customHeight="1">
      <c r="C752" s="13"/>
      <c r="K752" s="2"/>
      <c r="L752" s="2"/>
    </row>
    <row r="753" spans="3:12" ht="15.75" customHeight="1">
      <c r="C753" s="13"/>
      <c r="K753" s="2"/>
      <c r="L753" s="2"/>
    </row>
    <row r="754" spans="3:12" ht="15.75" customHeight="1">
      <c r="C754" s="13"/>
      <c r="K754" s="2"/>
      <c r="L754" s="2"/>
    </row>
    <row r="755" spans="3:12" ht="15.75" customHeight="1">
      <c r="C755" s="13"/>
      <c r="K755" s="2"/>
      <c r="L755" s="2"/>
    </row>
    <row r="756" spans="3:12" ht="15.75" customHeight="1">
      <c r="C756" s="13"/>
      <c r="K756" s="2"/>
      <c r="L756" s="2"/>
    </row>
    <row r="757" spans="3:12" ht="15.75" customHeight="1">
      <c r="C757" s="13"/>
      <c r="K757" s="2"/>
      <c r="L757" s="2"/>
    </row>
    <row r="758" spans="3:12" ht="15.75" customHeight="1">
      <c r="C758" s="13"/>
      <c r="K758" s="2"/>
      <c r="L758" s="2"/>
    </row>
    <row r="759" spans="3:12" ht="15.75" customHeight="1">
      <c r="C759" s="13"/>
      <c r="K759" s="2"/>
      <c r="L759" s="2"/>
    </row>
    <row r="760" spans="3:12" ht="15.75" customHeight="1">
      <c r="C760" s="13"/>
      <c r="K760" s="2"/>
      <c r="L760" s="2"/>
    </row>
    <row r="761" spans="3:12" ht="15.75" customHeight="1">
      <c r="C761" s="13"/>
      <c r="K761" s="2"/>
      <c r="L761" s="2"/>
    </row>
    <row r="762" spans="3:12" ht="15.75" customHeight="1">
      <c r="C762" s="13"/>
      <c r="K762" s="2"/>
      <c r="L762" s="2"/>
    </row>
    <row r="763" spans="3:12" ht="15.75" customHeight="1">
      <c r="C763" s="13"/>
      <c r="K763" s="2"/>
      <c r="L763" s="2"/>
    </row>
    <row r="764" spans="3:12" ht="15.75" customHeight="1">
      <c r="C764" s="13"/>
      <c r="K764" s="2"/>
      <c r="L764" s="2"/>
    </row>
    <row r="765" spans="3:12" ht="15.75" customHeight="1">
      <c r="C765" s="13"/>
      <c r="K765" s="2"/>
      <c r="L765" s="2"/>
    </row>
    <row r="766" spans="3:12" ht="15.75" customHeight="1">
      <c r="C766" s="13"/>
      <c r="K766" s="2"/>
      <c r="L766" s="2"/>
    </row>
    <row r="767" spans="3:12" ht="14.4">
      <c r="C767" s="13"/>
    </row>
    <row r="768" spans="3:12" ht="14.4">
      <c r="C768" s="13"/>
    </row>
  </sheetData>
  <mergeCells count="6">
    <mergeCell ref="C73:N73"/>
    <mergeCell ref="F2:G5"/>
    <mergeCell ref="P4:R4"/>
    <mergeCell ref="P6:R6"/>
    <mergeCell ref="C7:N7"/>
    <mergeCell ref="C42:N42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Z927"/>
  <sheetViews>
    <sheetView topLeftCell="C72" workbookViewId="0">
      <selection activeCell="F80" sqref="F80"/>
    </sheetView>
  </sheetViews>
  <sheetFormatPr baseColWidth="10" defaultColWidth="14.44140625" defaultRowHeight="15" customHeight="1"/>
  <cols>
    <col min="1" max="1" width="15.33203125" customWidth="1"/>
    <col min="2" max="2" width="22.44140625" customWidth="1"/>
    <col min="3" max="3" width="26.6640625" customWidth="1"/>
    <col min="4" max="4" width="100.88671875" customWidth="1"/>
    <col min="5" max="5" width="24.44140625" customWidth="1"/>
    <col min="6" max="6" width="24.109375" customWidth="1"/>
    <col min="7" max="7" width="34.109375" customWidth="1"/>
    <col min="8" max="8" width="101.109375" customWidth="1"/>
    <col min="9" max="26" width="8.88671875" customWidth="1"/>
  </cols>
  <sheetData>
    <row r="2" spans="1:8" ht="14.4">
      <c r="B2" s="167"/>
      <c r="C2" s="168"/>
    </row>
    <row r="3" spans="1:8" ht="14.4">
      <c r="B3" s="169"/>
      <c r="C3" s="170"/>
    </row>
    <row r="4" spans="1:8" ht="14.4">
      <c r="B4" s="171"/>
      <c r="C4" s="172"/>
    </row>
    <row r="5" spans="1:8" ht="14.4">
      <c r="B5" s="3"/>
      <c r="C5" s="3"/>
    </row>
    <row r="7" spans="1:8" ht="28.5" customHeight="1">
      <c r="A7" s="176" t="s">
        <v>28</v>
      </c>
      <c r="B7" s="165"/>
      <c r="C7" s="165"/>
      <c r="D7" s="165"/>
      <c r="E7" s="165"/>
      <c r="F7" s="165"/>
      <c r="G7" s="165"/>
      <c r="H7" s="166"/>
    </row>
    <row r="8" spans="1:8" ht="19.5" customHeight="1"/>
    <row r="9" spans="1:8" ht="43.5" customHeight="1">
      <c r="A9" s="46" t="s">
        <v>16</v>
      </c>
      <c r="B9" s="46" t="s">
        <v>19</v>
      </c>
      <c r="C9" s="46" t="s">
        <v>29</v>
      </c>
      <c r="D9" s="93" t="s">
        <v>21</v>
      </c>
      <c r="E9" s="93" t="s">
        <v>2</v>
      </c>
      <c r="F9" s="46" t="s">
        <v>24</v>
      </c>
      <c r="G9" s="46" t="s">
        <v>25</v>
      </c>
      <c r="H9" s="46" t="s">
        <v>26</v>
      </c>
    </row>
    <row r="10" spans="1:8" ht="24.75" customHeight="1">
      <c r="A10" t="s">
        <v>151</v>
      </c>
      <c r="B10" s="21"/>
      <c r="C10" s="147"/>
      <c r="D10" s="74" t="s">
        <v>179</v>
      </c>
      <c r="E10" s="74"/>
      <c r="F10" s="85">
        <v>1100000</v>
      </c>
      <c r="G10" s="35"/>
      <c r="H10" s="39"/>
    </row>
    <row r="11" spans="1:8" ht="24.75" customHeight="1">
      <c r="A11" t="s">
        <v>152</v>
      </c>
      <c r="B11" s="34"/>
      <c r="C11" s="148"/>
      <c r="D11" s="74" t="s">
        <v>180</v>
      </c>
      <c r="E11" s="96">
        <v>400000</v>
      </c>
      <c r="F11" s="86"/>
      <c r="G11" s="47"/>
      <c r="H11" s="29"/>
    </row>
    <row r="12" spans="1:8" ht="24.75" customHeight="1">
      <c r="A12" t="s">
        <v>153</v>
      </c>
      <c r="B12" s="34"/>
      <c r="C12" s="148"/>
      <c r="D12" s="74" t="s">
        <v>181</v>
      </c>
      <c r="E12" s="74"/>
      <c r="F12" s="85">
        <v>220000</v>
      </c>
      <c r="G12" s="35"/>
      <c r="H12" s="29"/>
    </row>
    <row r="13" spans="1:8" ht="24.75" customHeight="1">
      <c r="A13" t="s">
        <v>153</v>
      </c>
      <c r="B13" s="34"/>
      <c r="C13" s="148"/>
      <c r="D13" s="74" t="s">
        <v>182</v>
      </c>
      <c r="E13" s="74"/>
      <c r="F13" s="85">
        <v>3900000</v>
      </c>
      <c r="G13" s="47"/>
      <c r="H13" s="29"/>
    </row>
    <row r="14" spans="1:8" ht="24.75" customHeight="1">
      <c r="A14" t="s">
        <v>153</v>
      </c>
      <c r="B14" s="34"/>
      <c r="C14" s="148"/>
      <c r="D14" s="74" t="s">
        <v>183</v>
      </c>
      <c r="E14" s="74"/>
      <c r="F14" s="85">
        <v>156000</v>
      </c>
      <c r="G14" s="47"/>
      <c r="H14" s="29"/>
    </row>
    <row r="15" spans="1:8" ht="24.75" customHeight="1">
      <c r="A15" t="s">
        <v>153</v>
      </c>
      <c r="B15" s="34"/>
      <c r="C15" s="148"/>
      <c r="D15" s="74" t="s">
        <v>181</v>
      </c>
      <c r="E15" s="96">
        <v>220000</v>
      </c>
      <c r="F15" s="86"/>
      <c r="G15" s="35"/>
      <c r="H15" s="29"/>
    </row>
    <row r="16" spans="1:8" ht="24.75" customHeight="1">
      <c r="A16" t="s">
        <v>153</v>
      </c>
      <c r="B16" s="15"/>
      <c r="C16" s="149"/>
      <c r="D16" s="74" t="s">
        <v>182</v>
      </c>
      <c r="E16" s="96">
        <v>3900000</v>
      </c>
      <c r="F16" s="87"/>
      <c r="G16" s="48"/>
      <c r="H16" s="29"/>
    </row>
    <row r="17" spans="1:8" ht="24.75" customHeight="1">
      <c r="A17" t="s">
        <v>154</v>
      </c>
      <c r="B17" s="15"/>
      <c r="C17" s="149"/>
      <c r="D17" s="74" t="s">
        <v>184</v>
      </c>
      <c r="E17" s="74"/>
      <c r="F17" s="85">
        <v>250000</v>
      </c>
      <c r="G17" s="48"/>
      <c r="H17" s="29"/>
    </row>
    <row r="18" spans="1:8" ht="24.75" customHeight="1">
      <c r="A18" t="s">
        <v>154</v>
      </c>
      <c r="B18" s="15"/>
      <c r="C18" s="149"/>
      <c r="D18" s="74" t="s">
        <v>185</v>
      </c>
      <c r="E18" s="74"/>
      <c r="F18" s="85">
        <v>100000</v>
      </c>
      <c r="G18" s="35"/>
      <c r="H18" s="29"/>
    </row>
    <row r="19" spans="1:8" ht="24.75" customHeight="1">
      <c r="A19" t="s">
        <v>154</v>
      </c>
      <c r="B19" s="15"/>
      <c r="C19" s="149"/>
      <c r="D19" s="74" t="s">
        <v>185</v>
      </c>
      <c r="E19" s="74"/>
      <c r="F19" s="85">
        <v>82000</v>
      </c>
      <c r="G19" s="48"/>
      <c r="H19" s="29"/>
    </row>
    <row r="20" spans="1:8" ht="24.75" customHeight="1">
      <c r="A20" t="s">
        <v>155</v>
      </c>
      <c r="B20" s="15"/>
      <c r="C20" s="149"/>
      <c r="D20" s="74" t="s">
        <v>186</v>
      </c>
      <c r="E20" s="74"/>
      <c r="F20" s="85">
        <v>1130000</v>
      </c>
      <c r="G20" s="35"/>
      <c r="H20" s="29"/>
    </row>
    <row r="21" spans="1:8" ht="24.75" customHeight="1">
      <c r="A21" t="s">
        <v>155</v>
      </c>
      <c r="B21" s="15"/>
      <c r="C21" s="149"/>
      <c r="D21" s="74" t="s">
        <v>187</v>
      </c>
      <c r="E21" s="74"/>
      <c r="F21" s="85">
        <v>30000</v>
      </c>
      <c r="G21" s="35"/>
      <c r="H21" s="29"/>
    </row>
    <row r="22" spans="1:8" ht="24.75" customHeight="1">
      <c r="A22" t="s">
        <v>156</v>
      </c>
      <c r="B22" s="15"/>
      <c r="C22" s="149" t="s">
        <v>227</v>
      </c>
      <c r="D22" s="97" t="s">
        <v>188</v>
      </c>
      <c r="E22" s="96">
        <v>200000</v>
      </c>
      <c r="F22" s="88"/>
      <c r="G22" s="35"/>
      <c r="H22" s="29"/>
    </row>
    <row r="23" spans="1:8" ht="24.75" customHeight="1">
      <c r="A23" t="s">
        <v>157</v>
      </c>
      <c r="B23" s="15"/>
      <c r="C23" s="149" t="s">
        <v>228</v>
      </c>
      <c r="D23" s="153" t="s">
        <v>189</v>
      </c>
      <c r="E23" s="96">
        <v>3600000</v>
      </c>
      <c r="F23" s="88"/>
      <c r="G23" s="35"/>
      <c r="H23" s="29"/>
    </row>
    <row r="24" spans="1:8" ht="24.75" customHeight="1">
      <c r="A24" t="s">
        <v>157</v>
      </c>
      <c r="B24" s="15"/>
      <c r="C24" s="149"/>
      <c r="D24" s="74" t="s">
        <v>190</v>
      </c>
      <c r="E24" s="96">
        <v>87900</v>
      </c>
      <c r="F24" s="88"/>
      <c r="G24" s="35"/>
      <c r="H24" s="29"/>
    </row>
    <row r="25" spans="1:8" ht="24.75" customHeight="1">
      <c r="A25" t="s">
        <v>158</v>
      </c>
      <c r="B25" s="15"/>
      <c r="C25" s="149"/>
      <c r="D25" s="74" t="s">
        <v>191</v>
      </c>
      <c r="E25" s="74"/>
      <c r="F25" s="85">
        <v>500000</v>
      </c>
      <c r="G25" s="35"/>
      <c r="H25" s="29"/>
    </row>
    <row r="26" spans="1:8" ht="24.75" customHeight="1">
      <c r="A26" t="s">
        <v>158</v>
      </c>
      <c r="B26" s="15"/>
      <c r="C26" s="149"/>
      <c r="D26" s="74" t="s">
        <v>192</v>
      </c>
      <c r="E26" s="74"/>
      <c r="F26" s="85">
        <v>550000</v>
      </c>
      <c r="G26" s="35"/>
      <c r="H26" s="29"/>
    </row>
    <row r="27" spans="1:8" ht="24.75" customHeight="1">
      <c r="A27" t="s">
        <v>158</v>
      </c>
      <c r="B27" s="15"/>
      <c r="C27" s="149"/>
      <c r="D27" s="74" t="s">
        <v>193</v>
      </c>
      <c r="E27" s="74"/>
      <c r="F27" s="85">
        <v>600000</v>
      </c>
      <c r="G27" s="35"/>
      <c r="H27" s="29"/>
    </row>
    <row r="28" spans="1:8" ht="24.75" customHeight="1">
      <c r="A28" t="s">
        <v>159</v>
      </c>
      <c r="B28" s="15"/>
      <c r="C28" s="149"/>
      <c r="D28" s="74" t="s">
        <v>194</v>
      </c>
      <c r="E28" s="74"/>
      <c r="F28" s="85">
        <v>565504</v>
      </c>
      <c r="G28" s="35"/>
      <c r="H28" s="29"/>
    </row>
    <row r="29" spans="1:8" ht="24.75" customHeight="1">
      <c r="A29" t="s">
        <v>159</v>
      </c>
      <c r="B29" s="15"/>
      <c r="C29" s="149"/>
      <c r="D29" s="74" t="s">
        <v>194</v>
      </c>
      <c r="E29" s="74"/>
      <c r="F29" s="85">
        <v>391938</v>
      </c>
      <c r="G29" s="35"/>
      <c r="H29" s="29"/>
    </row>
    <row r="30" spans="1:8" ht="24.75" customHeight="1">
      <c r="A30" t="s">
        <v>159</v>
      </c>
      <c r="B30" s="15"/>
      <c r="C30" s="149"/>
      <c r="D30" s="74" t="s">
        <v>194</v>
      </c>
      <c r="E30" s="74"/>
      <c r="F30" s="85">
        <v>599526</v>
      </c>
      <c r="G30" s="35"/>
      <c r="H30" s="29"/>
    </row>
    <row r="31" spans="1:8" ht="24.75" customHeight="1">
      <c r="A31" t="s">
        <v>159</v>
      </c>
      <c r="B31" s="15"/>
      <c r="C31" s="149"/>
      <c r="D31" s="74" t="s">
        <v>194</v>
      </c>
      <c r="E31" s="96">
        <v>565504</v>
      </c>
      <c r="F31" s="89"/>
      <c r="G31" s="41"/>
      <c r="H31" s="29"/>
    </row>
    <row r="32" spans="1:8" ht="24.75" customHeight="1">
      <c r="A32" t="s">
        <v>159</v>
      </c>
      <c r="B32" s="15"/>
      <c r="C32" s="149"/>
      <c r="D32" s="74" t="s">
        <v>194</v>
      </c>
      <c r="E32" s="96">
        <v>391938</v>
      </c>
      <c r="F32" s="89"/>
      <c r="G32" s="35"/>
      <c r="H32" s="29"/>
    </row>
    <row r="33" spans="1:8" ht="24.75" customHeight="1">
      <c r="A33" t="s">
        <v>159</v>
      </c>
      <c r="B33" s="15"/>
      <c r="C33" s="149"/>
      <c r="D33" s="74" t="s">
        <v>194</v>
      </c>
      <c r="E33" s="96">
        <v>599526</v>
      </c>
      <c r="F33" s="90"/>
      <c r="G33" s="35"/>
      <c r="H33" s="29"/>
    </row>
    <row r="34" spans="1:8" ht="24.75" customHeight="1">
      <c r="A34" t="s">
        <v>160</v>
      </c>
      <c r="B34" s="15"/>
      <c r="C34" s="149"/>
      <c r="D34" s="74" t="s">
        <v>194</v>
      </c>
      <c r="E34" s="74"/>
      <c r="F34" s="85">
        <v>167946</v>
      </c>
      <c r="G34" s="35"/>
      <c r="H34" s="29"/>
    </row>
    <row r="35" spans="1:8" ht="24.75" customHeight="1">
      <c r="A35" t="s">
        <v>160</v>
      </c>
      <c r="B35" s="15"/>
      <c r="C35" s="149"/>
      <c r="D35" s="74" t="s">
        <v>195</v>
      </c>
      <c r="E35" s="74"/>
      <c r="F35" s="85">
        <v>171321</v>
      </c>
      <c r="G35" s="35"/>
      <c r="H35" s="29"/>
    </row>
    <row r="36" spans="1:8" ht="24.75" customHeight="1">
      <c r="A36" t="s">
        <v>160</v>
      </c>
      <c r="B36" s="49"/>
      <c r="C36" s="150"/>
      <c r="D36" s="74" t="s">
        <v>194</v>
      </c>
      <c r="E36" s="96">
        <v>167946</v>
      </c>
      <c r="F36" s="91"/>
      <c r="G36" s="35"/>
      <c r="H36" s="29"/>
    </row>
    <row r="37" spans="1:8" ht="24.75" customHeight="1">
      <c r="A37" t="s">
        <v>161</v>
      </c>
      <c r="B37" s="49"/>
      <c r="C37" s="150"/>
      <c r="D37" s="74" t="s">
        <v>196</v>
      </c>
      <c r="E37" s="96">
        <v>150000</v>
      </c>
      <c r="F37" s="89"/>
      <c r="G37" s="35"/>
      <c r="H37" s="29"/>
    </row>
    <row r="38" spans="1:8" ht="24.75" customHeight="1">
      <c r="A38" t="s">
        <v>162</v>
      </c>
      <c r="B38" s="49"/>
      <c r="C38" s="150"/>
      <c r="D38" s="74" t="s">
        <v>197</v>
      </c>
      <c r="E38" s="74"/>
      <c r="F38" s="85">
        <v>800000</v>
      </c>
      <c r="G38" s="35"/>
      <c r="H38" s="29"/>
    </row>
    <row r="39" spans="1:8" ht="24.75" customHeight="1">
      <c r="A39" t="s">
        <v>163</v>
      </c>
      <c r="B39" s="49"/>
      <c r="C39" s="150" t="s">
        <v>229</v>
      </c>
      <c r="D39" s="97" t="s">
        <v>198</v>
      </c>
      <c r="E39" s="74"/>
      <c r="F39" s="85">
        <v>820000</v>
      </c>
      <c r="G39" s="35"/>
      <c r="H39" s="29"/>
    </row>
    <row r="40" spans="1:8" ht="24.75" customHeight="1">
      <c r="A40" t="s">
        <v>163</v>
      </c>
      <c r="B40" s="49"/>
      <c r="C40" s="150" t="s">
        <v>229</v>
      </c>
      <c r="D40" s="74" t="s">
        <v>199</v>
      </c>
      <c r="E40" s="74"/>
      <c r="F40" s="85">
        <v>4400000</v>
      </c>
      <c r="G40" s="50"/>
      <c r="H40" s="29"/>
    </row>
    <row r="41" spans="1:8" ht="24.75" customHeight="1">
      <c r="A41" t="s">
        <v>163</v>
      </c>
      <c r="B41" s="15"/>
      <c r="C41" s="149"/>
      <c r="D41" s="74" t="s">
        <v>200</v>
      </c>
      <c r="E41" s="74"/>
      <c r="F41" s="85">
        <v>3700000</v>
      </c>
      <c r="G41" s="35"/>
      <c r="H41" s="29"/>
    </row>
    <row r="42" spans="1:8" ht="24.75" customHeight="1">
      <c r="A42" t="s">
        <v>163</v>
      </c>
      <c r="B42" s="15"/>
      <c r="C42" s="149" t="s">
        <v>229</v>
      </c>
      <c r="D42" s="97" t="s">
        <v>201</v>
      </c>
      <c r="E42" s="74"/>
      <c r="F42" s="85">
        <v>150000</v>
      </c>
      <c r="G42" s="35"/>
      <c r="H42" s="29"/>
    </row>
    <row r="43" spans="1:8" ht="24.75" customHeight="1">
      <c r="A43" t="s">
        <v>163</v>
      </c>
      <c r="B43" s="15"/>
      <c r="C43" s="149"/>
      <c r="D43" s="74" t="s">
        <v>202</v>
      </c>
      <c r="E43" s="96">
        <v>13000000</v>
      </c>
      <c r="F43" s="89"/>
      <c r="G43" s="41"/>
      <c r="H43" s="29"/>
    </row>
    <row r="44" spans="1:8" ht="24.75" customHeight="1">
      <c r="A44" t="s">
        <v>164</v>
      </c>
      <c r="B44" s="15"/>
      <c r="C44" s="149"/>
      <c r="D44" s="74" t="s">
        <v>203</v>
      </c>
      <c r="E44" s="74"/>
      <c r="F44" s="85">
        <v>1000000</v>
      </c>
      <c r="G44" s="41"/>
      <c r="H44" s="29"/>
    </row>
    <row r="45" spans="1:8" ht="24.75" customHeight="1">
      <c r="A45" t="s">
        <v>165</v>
      </c>
      <c r="B45" s="15"/>
      <c r="C45" s="149"/>
      <c r="D45" s="74" t="s">
        <v>204</v>
      </c>
      <c r="E45" s="74"/>
      <c r="F45" s="85">
        <v>300000</v>
      </c>
      <c r="G45" s="41"/>
      <c r="H45" s="29"/>
    </row>
    <row r="46" spans="1:8" ht="24.75" customHeight="1">
      <c r="A46" t="s">
        <v>165</v>
      </c>
      <c r="B46" s="15"/>
      <c r="C46" s="149"/>
      <c r="D46" s="74" t="s">
        <v>205</v>
      </c>
      <c r="E46" s="74"/>
      <c r="F46" s="85">
        <v>300000</v>
      </c>
      <c r="G46" s="41"/>
      <c r="H46" s="29"/>
    </row>
    <row r="47" spans="1:8" ht="24.75" customHeight="1">
      <c r="A47" t="s">
        <v>165</v>
      </c>
      <c r="B47" s="15"/>
      <c r="C47" s="149"/>
      <c r="D47" s="74" t="s">
        <v>206</v>
      </c>
      <c r="E47" s="74"/>
      <c r="F47" s="85">
        <v>2252249</v>
      </c>
      <c r="G47" s="41"/>
      <c r="H47" s="29"/>
    </row>
    <row r="48" spans="1:8" ht="24.75" customHeight="1">
      <c r="A48" t="s">
        <v>166</v>
      </c>
      <c r="B48" s="15"/>
      <c r="C48" s="149"/>
      <c r="D48" s="74" t="s">
        <v>207</v>
      </c>
      <c r="E48" s="74"/>
      <c r="F48" s="85">
        <v>300000</v>
      </c>
      <c r="G48" s="41"/>
      <c r="H48" s="29"/>
    </row>
    <row r="49" spans="1:26" ht="24.75" customHeight="1">
      <c r="A49" t="s">
        <v>167</v>
      </c>
      <c r="B49" s="15"/>
      <c r="C49" s="149"/>
      <c r="D49" s="74" t="s">
        <v>208</v>
      </c>
      <c r="E49" s="74"/>
      <c r="F49" s="85">
        <v>2101658</v>
      </c>
      <c r="G49" s="41"/>
      <c r="H49" s="29"/>
    </row>
    <row r="50" spans="1:26" ht="24.75" customHeight="1">
      <c r="A50" t="s">
        <v>168</v>
      </c>
      <c r="B50" s="15"/>
      <c r="C50" s="149"/>
      <c r="D50" s="74" t="s">
        <v>209</v>
      </c>
      <c r="E50" s="74"/>
      <c r="F50" s="85">
        <v>98600</v>
      </c>
      <c r="G50" s="41"/>
      <c r="H50" s="29"/>
    </row>
    <row r="51" spans="1:26" ht="24.75" customHeight="1">
      <c r="A51" t="s">
        <v>168</v>
      </c>
      <c r="B51" s="15"/>
      <c r="C51" s="149"/>
      <c r="D51" s="74" t="s">
        <v>210</v>
      </c>
      <c r="E51" s="74"/>
      <c r="F51" s="85">
        <v>100000</v>
      </c>
      <c r="G51" s="35"/>
      <c r="H51" s="29"/>
    </row>
    <row r="52" spans="1:26" ht="24.75" customHeight="1">
      <c r="A52" t="s">
        <v>169</v>
      </c>
      <c r="B52" s="15"/>
      <c r="C52" s="149"/>
      <c r="D52" s="74" t="s">
        <v>211</v>
      </c>
      <c r="E52" s="74"/>
      <c r="F52" s="85">
        <v>320000</v>
      </c>
      <c r="G52" s="35"/>
      <c r="H52" s="29"/>
    </row>
    <row r="53" spans="1:26" ht="24.75" customHeight="1">
      <c r="A53" t="s">
        <v>169</v>
      </c>
      <c r="B53" s="15"/>
      <c r="C53" s="149"/>
      <c r="D53" s="74" t="s">
        <v>212</v>
      </c>
      <c r="E53" s="74"/>
      <c r="F53" s="85">
        <v>180000</v>
      </c>
      <c r="G53" s="35"/>
      <c r="H53" s="29"/>
    </row>
    <row r="54" spans="1:26" ht="24.75" customHeight="1">
      <c r="A54" t="s">
        <v>169</v>
      </c>
      <c r="B54" s="15"/>
      <c r="C54" s="149"/>
      <c r="D54" s="74" t="s">
        <v>213</v>
      </c>
      <c r="E54" s="74"/>
      <c r="F54" s="85">
        <v>570000</v>
      </c>
      <c r="G54" s="35"/>
      <c r="H54" s="29"/>
    </row>
    <row r="55" spans="1:26" ht="24.75" customHeight="1">
      <c r="A55" t="s">
        <v>169</v>
      </c>
      <c r="B55" s="15"/>
      <c r="C55" s="151" t="s">
        <v>231</v>
      </c>
      <c r="D55" s="153" t="s">
        <v>214</v>
      </c>
      <c r="E55" s="96">
        <v>2600000</v>
      </c>
      <c r="F55" s="89"/>
      <c r="G55" s="35"/>
      <c r="H55" s="29"/>
    </row>
    <row r="56" spans="1:26" ht="24.75" customHeight="1">
      <c r="A56" t="s">
        <v>169</v>
      </c>
      <c r="B56" s="51"/>
      <c r="C56" s="149" t="s">
        <v>230</v>
      </c>
      <c r="D56" s="97" t="s">
        <v>215</v>
      </c>
      <c r="E56" s="96">
        <v>4179000</v>
      </c>
      <c r="F56" s="92"/>
      <c r="G56" s="35"/>
      <c r="H56" s="29"/>
    </row>
    <row r="57" spans="1:26" ht="24.75" customHeight="1">
      <c r="A57" t="s">
        <v>170</v>
      </c>
      <c r="B57" s="15"/>
      <c r="C57" s="149"/>
      <c r="D57" s="74" t="s">
        <v>216</v>
      </c>
      <c r="E57" s="74"/>
      <c r="F57" s="85">
        <v>1600000</v>
      </c>
      <c r="G57" s="35"/>
      <c r="H57" s="29"/>
    </row>
    <row r="58" spans="1:26" ht="24.75" customHeight="1">
      <c r="A58" t="s">
        <v>171</v>
      </c>
      <c r="B58" s="15"/>
      <c r="C58" s="149"/>
      <c r="D58" s="74" t="s">
        <v>217</v>
      </c>
      <c r="E58" s="74"/>
      <c r="F58" s="85">
        <v>750000</v>
      </c>
      <c r="G58" s="35"/>
      <c r="H58" s="29"/>
    </row>
    <row r="59" spans="1:26" ht="24.75" customHeight="1">
      <c r="A59" t="s">
        <v>172</v>
      </c>
      <c r="B59" s="15"/>
      <c r="C59" s="149"/>
      <c r="D59" s="74" t="s">
        <v>218</v>
      </c>
      <c r="E59" s="74"/>
      <c r="F59" s="85">
        <v>65025</v>
      </c>
      <c r="G59" s="35"/>
      <c r="H59" s="29"/>
    </row>
    <row r="60" spans="1:26" ht="24.75" customHeight="1">
      <c r="A60" t="s">
        <v>173</v>
      </c>
      <c r="B60" s="15"/>
      <c r="C60" s="149"/>
      <c r="D60" s="74" t="s">
        <v>219</v>
      </c>
      <c r="E60" s="74"/>
      <c r="F60" s="85">
        <v>400000</v>
      </c>
      <c r="G60" s="35"/>
      <c r="H60" s="29"/>
    </row>
    <row r="61" spans="1:26" ht="24.75" customHeight="1">
      <c r="A61" t="s">
        <v>173</v>
      </c>
      <c r="B61" s="15"/>
      <c r="C61" s="149"/>
      <c r="D61" s="74" t="s">
        <v>220</v>
      </c>
      <c r="E61" s="74"/>
      <c r="F61" s="85">
        <v>2926800</v>
      </c>
      <c r="G61" s="35"/>
      <c r="H61" s="29"/>
    </row>
    <row r="62" spans="1:26" ht="24.75" customHeight="1">
      <c r="A62" t="s">
        <v>173</v>
      </c>
      <c r="B62" s="15"/>
      <c r="C62" s="149" t="s">
        <v>229</v>
      </c>
      <c r="D62" s="74" t="s">
        <v>221</v>
      </c>
      <c r="E62" s="74"/>
      <c r="F62" s="85">
        <v>500000</v>
      </c>
      <c r="G62" s="35"/>
      <c r="H62" s="29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24.75" customHeight="1">
      <c r="A63" t="s">
        <v>173</v>
      </c>
      <c r="B63" s="15"/>
      <c r="C63" s="149"/>
      <c r="D63" s="74" t="s">
        <v>501</v>
      </c>
      <c r="E63" s="96">
        <v>400000</v>
      </c>
      <c r="F63" s="89"/>
      <c r="G63" s="35"/>
      <c r="H63" s="29"/>
    </row>
    <row r="64" spans="1:26" ht="24.75" customHeight="1">
      <c r="A64" t="s">
        <v>174</v>
      </c>
      <c r="B64" s="15"/>
      <c r="C64" s="149"/>
      <c r="D64" s="74" t="s">
        <v>213</v>
      </c>
      <c r="E64" s="74"/>
      <c r="F64" s="85">
        <v>16700</v>
      </c>
      <c r="G64" s="35"/>
      <c r="H64" s="29"/>
    </row>
    <row r="65" spans="1:8" ht="24.75" customHeight="1">
      <c r="A65" t="s">
        <v>174</v>
      </c>
      <c r="B65" s="15"/>
      <c r="C65" s="149"/>
      <c r="D65" s="74" t="s">
        <v>213</v>
      </c>
      <c r="E65" s="74"/>
      <c r="F65" s="85">
        <v>110000</v>
      </c>
      <c r="G65" s="35"/>
      <c r="H65" s="29"/>
    </row>
    <row r="66" spans="1:8" ht="24.75" customHeight="1">
      <c r="A66" t="s">
        <v>174</v>
      </c>
      <c r="B66" s="15"/>
      <c r="C66" s="149"/>
      <c r="D66" s="74" t="s">
        <v>200</v>
      </c>
      <c r="E66" s="74"/>
      <c r="F66" s="85">
        <v>350000</v>
      </c>
      <c r="G66" s="35"/>
      <c r="H66" s="29"/>
    </row>
    <row r="67" spans="1:8" ht="24.75" customHeight="1">
      <c r="A67" t="s">
        <v>175</v>
      </c>
      <c r="B67" s="15"/>
      <c r="C67" s="149"/>
      <c r="D67" s="74" t="s">
        <v>222</v>
      </c>
      <c r="E67" s="74"/>
      <c r="F67" s="85">
        <v>5280000</v>
      </c>
      <c r="G67" s="35"/>
      <c r="H67" s="29"/>
    </row>
    <row r="68" spans="1:8" ht="24.75" customHeight="1">
      <c r="A68" t="s">
        <v>176</v>
      </c>
      <c r="B68" s="15"/>
      <c r="C68" s="149"/>
      <c r="D68" s="74" t="s">
        <v>223</v>
      </c>
      <c r="E68" s="96">
        <v>2000000</v>
      </c>
      <c r="F68" s="89"/>
      <c r="G68" s="35"/>
      <c r="H68" s="29"/>
    </row>
    <row r="69" spans="1:8" ht="24.75" customHeight="1">
      <c r="A69" t="s">
        <v>177</v>
      </c>
      <c r="B69" s="15"/>
      <c r="C69" s="149"/>
      <c r="D69" s="74" t="s">
        <v>224</v>
      </c>
      <c r="E69" s="74"/>
      <c r="F69" s="85">
        <v>100000</v>
      </c>
      <c r="G69" s="35"/>
      <c r="H69" s="29"/>
    </row>
    <row r="70" spans="1:8" ht="24.75" customHeight="1">
      <c r="A70" t="s">
        <v>177</v>
      </c>
      <c r="B70" s="15"/>
      <c r="C70" s="149"/>
      <c r="D70" s="74" t="s">
        <v>225</v>
      </c>
      <c r="E70" s="74"/>
      <c r="F70" s="85">
        <v>396171</v>
      </c>
      <c r="G70" s="35"/>
      <c r="H70" s="29"/>
    </row>
    <row r="71" spans="1:8" ht="24.75" customHeight="1">
      <c r="A71" t="s">
        <v>177</v>
      </c>
      <c r="B71" s="15"/>
      <c r="C71" s="149"/>
      <c r="D71" s="74" t="s">
        <v>223</v>
      </c>
      <c r="E71" s="96">
        <v>2000000</v>
      </c>
      <c r="F71" s="89"/>
      <c r="G71" s="35"/>
      <c r="H71" s="29"/>
    </row>
    <row r="72" spans="1:8" ht="24.75" customHeight="1">
      <c r="A72" t="s">
        <v>178</v>
      </c>
      <c r="B72" s="21"/>
      <c r="C72" s="147"/>
      <c r="D72" s="74" t="s">
        <v>226</v>
      </c>
      <c r="E72" s="74"/>
      <c r="F72" s="85">
        <v>352155</v>
      </c>
      <c r="G72" s="35"/>
      <c r="H72" s="29"/>
    </row>
    <row r="73" spans="1:8" ht="24.75" customHeight="1">
      <c r="A73" s="141">
        <v>46055</v>
      </c>
      <c r="B73" s="21"/>
      <c r="C73" s="147"/>
      <c r="D73" s="143" t="s">
        <v>502</v>
      </c>
      <c r="E73" s="74"/>
      <c r="F73" s="85">
        <v>1106000</v>
      </c>
      <c r="G73" s="35"/>
      <c r="H73" s="140"/>
    </row>
    <row r="74" spans="1:8" ht="24.75" customHeight="1">
      <c r="A74" s="141">
        <v>46059</v>
      </c>
      <c r="B74" s="21"/>
      <c r="C74" s="147"/>
      <c r="D74" s="143" t="s">
        <v>497</v>
      </c>
      <c r="E74" s="96">
        <v>7500000</v>
      </c>
      <c r="F74" s="85"/>
      <c r="G74" s="35"/>
      <c r="H74" s="140"/>
    </row>
    <row r="75" spans="1:8" ht="24.75" customHeight="1">
      <c r="A75" s="141">
        <v>46059</v>
      </c>
      <c r="B75" s="21"/>
      <c r="C75" s="147"/>
      <c r="D75" s="143" t="s">
        <v>497</v>
      </c>
      <c r="E75" s="96">
        <v>5700000</v>
      </c>
      <c r="F75" s="85"/>
      <c r="G75" s="35"/>
      <c r="H75" s="140"/>
    </row>
    <row r="76" spans="1:8" ht="24.75" customHeight="1">
      <c r="A76" s="141">
        <v>46061</v>
      </c>
      <c r="B76" s="21"/>
      <c r="C76" s="147"/>
      <c r="D76" s="144" t="s">
        <v>498</v>
      </c>
      <c r="E76" s="74"/>
      <c r="F76" s="85">
        <v>250000</v>
      </c>
      <c r="G76" s="35"/>
      <c r="H76" s="140"/>
    </row>
    <row r="77" spans="1:8" ht="24.75" customHeight="1">
      <c r="A77" s="141">
        <v>46067</v>
      </c>
      <c r="B77" s="21"/>
      <c r="C77" s="155" t="s">
        <v>503</v>
      </c>
      <c r="D77" s="143" t="s">
        <v>499</v>
      </c>
      <c r="E77" s="154">
        <v>700000</v>
      </c>
      <c r="F77" s="85"/>
      <c r="G77" s="35"/>
      <c r="H77" s="140"/>
    </row>
    <row r="78" spans="1:8" ht="24.75" customHeight="1">
      <c r="A78" s="141">
        <v>46069</v>
      </c>
      <c r="B78" s="21"/>
      <c r="C78" s="155" t="s">
        <v>503</v>
      </c>
      <c r="D78" s="143" t="s">
        <v>499</v>
      </c>
      <c r="E78" s="154">
        <v>700000</v>
      </c>
      <c r="F78" s="85"/>
      <c r="G78" s="35"/>
      <c r="H78" s="140"/>
    </row>
    <row r="79" spans="1:8" ht="24.75" customHeight="1">
      <c r="A79" s="141">
        <v>46071</v>
      </c>
      <c r="B79" s="21"/>
      <c r="C79" s="155" t="s">
        <v>504</v>
      </c>
      <c r="D79" s="143" t="s">
        <v>499</v>
      </c>
      <c r="E79" s="154">
        <v>400000</v>
      </c>
      <c r="F79" s="85"/>
      <c r="G79" s="35"/>
      <c r="H79" s="140"/>
    </row>
    <row r="80" spans="1:8" ht="24.75" customHeight="1">
      <c r="A80" s="142">
        <v>46071</v>
      </c>
      <c r="B80" s="21"/>
      <c r="C80" s="147"/>
      <c r="D80" s="145" t="s">
        <v>499</v>
      </c>
      <c r="E80" s="74"/>
      <c r="F80" s="85">
        <v>100000</v>
      </c>
      <c r="G80" s="35"/>
      <c r="H80" s="140"/>
    </row>
    <row r="81" spans="1:8" ht="24.75" customHeight="1">
      <c r="A81" s="141">
        <v>46071</v>
      </c>
      <c r="B81" s="21"/>
      <c r="C81" s="147"/>
      <c r="D81" s="143" t="s">
        <v>499</v>
      </c>
      <c r="E81" s="74"/>
      <c r="F81" s="85">
        <v>-350000</v>
      </c>
      <c r="G81" s="35"/>
      <c r="H81" s="140"/>
    </row>
    <row r="82" spans="1:8" ht="24.75" customHeight="1">
      <c r="A82" s="141">
        <v>46071</v>
      </c>
      <c r="B82" s="21"/>
      <c r="C82" s="147"/>
      <c r="D82" s="143" t="s">
        <v>500</v>
      </c>
      <c r="E82" s="154">
        <v>3000000</v>
      </c>
      <c r="F82" s="85"/>
      <c r="G82" s="35"/>
      <c r="H82" s="140"/>
    </row>
    <row r="83" spans="1:8" ht="24.75" customHeight="1">
      <c r="A83" s="141">
        <v>46071</v>
      </c>
      <c r="B83" s="21"/>
      <c r="C83" s="145" t="s">
        <v>505</v>
      </c>
      <c r="D83" s="143" t="s">
        <v>499</v>
      </c>
      <c r="E83" s="154">
        <v>1000000</v>
      </c>
      <c r="F83" s="85"/>
      <c r="G83" s="35"/>
      <c r="H83" s="140"/>
    </row>
    <row r="84" spans="1:8" ht="24.75" customHeight="1">
      <c r="A84" s="141">
        <v>46072</v>
      </c>
      <c r="B84" s="21"/>
      <c r="C84" s="145" t="s">
        <v>506</v>
      </c>
      <c r="D84" s="143" t="s">
        <v>500</v>
      </c>
      <c r="E84" s="156">
        <v>15000</v>
      </c>
      <c r="F84" s="85"/>
      <c r="G84" s="35"/>
      <c r="H84" s="140"/>
    </row>
    <row r="85" spans="1:8" ht="24.75" customHeight="1">
      <c r="A85" s="141">
        <v>46073</v>
      </c>
      <c r="B85" s="21"/>
      <c r="C85" s="157"/>
      <c r="D85" s="143" t="s">
        <v>497</v>
      </c>
      <c r="E85" s="154">
        <v>750000</v>
      </c>
      <c r="F85" s="85"/>
      <c r="G85" s="35"/>
      <c r="H85" s="140"/>
    </row>
    <row r="86" spans="1:8" ht="24.75" customHeight="1">
      <c r="A86" s="141">
        <v>46076</v>
      </c>
      <c r="B86" s="21"/>
      <c r="C86" s="145" t="s">
        <v>507</v>
      </c>
      <c r="D86" s="143" t="s">
        <v>499</v>
      </c>
      <c r="E86" s="154">
        <v>750000</v>
      </c>
      <c r="F86" s="85"/>
      <c r="G86" s="35"/>
      <c r="H86" s="140"/>
    </row>
    <row r="87" spans="1:8" ht="24.75" customHeight="1">
      <c r="A87" s="141">
        <v>46076</v>
      </c>
      <c r="B87" s="21"/>
      <c r="C87" s="145" t="s">
        <v>503</v>
      </c>
      <c r="D87" s="143" t="s">
        <v>500</v>
      </c>
      <c r="E87" s="154">
        <v>400000</v>
      </c>
      <c r="G87" s="35"/>
      <c r="H87" s="140"/>
    </row>
    <row r="88" spans="1:8" ht="24.75" customHeight="1">
      <c r="A88" s="141">
        <v>46079</v>
      </c>
      <c r="B88" s="21"/>
      <c r="C88" s="145" t="s">
        <v>506</v>
      </c>
      <c r="D88" s="143" t="s">
        <v>500</v>
      </c>
      <c r="E88" s="154">
        <v>1050000</v>
      </c>
      <c r="F88" s="85"/>
      <c r="G88" s="35"/>
      <c r="H88" s="140"/>
    </row>
    <row r="89" spans="1:8" ht="24.75" customHeight="1">
      <c r="A89" s="146"/>
      <c r="B89" s="21"/>
      <c r="C89" s="145" t="s">
        <v>505</v>
      </c>
      <c r="D89" s="62"/>
      <c r="E89" s="154">
        <v>1000000</v>
      </c>
      <c r="F89" s="85"/>
      <c r="G89" s="35"/>
      <c r="H89" s="140"/>
    </row>
    <row r="90" spans="1:8" ht="24.75" customHeight="1">
      <c r="A90" s="40"/>
      <c r="B90" s="21"/>
      <c r="C90" s="152" t="s">
        <v>30</v>
      </c>
      <c r="D90" s="94"/>
      <c r="E90" s="95">
        <f>SUBTOTAL(109,E10:E89)</f>
        <v>57426814</v>
      </c>
      <c r="F90" s="95">
        <f>SUBTOTAL(109,F10:F89)</f>
        <v>41859593</v>
      </c>
      <c r="G90" s="52">
        <f>E90-F90</f>
        <v>15567221</v>
      </c>
      <c r="H90" s="38"/>
    </row>
    <row r="91" spans="1:8" ht="24.75" customHeight="1">
      <c r="A91" s="37"/>
      <c r="D91" s="43"/>
      <c r="E91" s="44"/>
      <c r="F91" s="44"/>
      <c r="G91" s="45"/>
      <c r="H91" s="44"/>
    </row>
    <row r="92" spans="1:8" ht="24.75" customHeight="1">
      <c r="A92" s="37"/>
      <c r="D92" s="53" t="s">
        <v>31</v>
      </c>
      <c r="E92" s="41"/>
      <c r="F92" s="41"/>
      <c r="G92" s="52">
        <f>G90*35%</f>
        <v>5448527.3499999996</v>
      </c>
      <c r="H92" s="44"/>
    </row>
    <row r="93" spans="1:8" ht="24.75" customHeight="1">
      <c r="A93" s="37"/>
      <c r="D93" s="53" t="s">
        <v>32</v>
      </c>
      <c r="E93" s="41"/>
      <c r="F93" s="41"/>
      <c r="G93" s="52">
        <f>G90*35%</f>
        <v>5448527.3499999996</v>
      </c>
      <c r="H93" s="44"/>
    </row>
    <row r="94" spans="1:8" ht="24.75" customHeight="1">
      <c r="A94" s="37"/>
      <c r="D94" s="54" t="s">
        <v>33</v>
      </c>
      <c r="E94" s="41"/>
      <c r="F94" s="41"/>
      <c r="G94" s="52">
        <f>G90*30%</f>
        <v>4670166.3</v>
      </c>
      <c r="H94" s="44"/>
    </row>
    <row r="95" spans="1:8" ht="24.75" customHeight="1">
      <c r="A95" s="37"/>
      <c r="D95" s="36"/>
      <c r="E95" s="44"/>
      <c r="F95" s="44"/>
      <c r="G95" s="45"/>
    </row>
    <row r="96" spans="1:8" ht="24.75" customHeight="1">
      <c r="A96" s="37"/>
      <c r="D96" s="36"/>
      <c r="E96" s="44"/>
      <c r="F96" s="44"/>
      <c r="G96" s="45"/>
    </row>
    <row r="97" ht="24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</sheetData>
  <mergeCells count="2">
    <mergeCell ref="B2:C4"/>
    <mergeCell ref="A7:H7"/>
  </mergeCells>
  <pageMargins left="0.7" right="0.7" top="0.75" bottom="0.75" header="0" footer="0"/>
  <pageSetup fitToHeight="0"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TOTALIZADO</vt:lpstr>
      <vt:lpstr>AUDI Q3</vt:lpstr>
      <vt:lpstr>MERCEDES E200</vt:lpstr>
      <vt:lpstr>MERCEDES GLE450</vt:lpstr>
      <vt:lpstr>AUDIQ8</vt:lpstr>
      <vt:lpstr>MERCEDES C200C</vt:lpstr>
      <vt:lpstr>TOYOTA XL</vt:lpstr>
      <vt:lpstr>TOTAL INGRESOS Y GASTOS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RUBY MUÑOZ</dc:creator>
  <cp:lastModifiedBy>user</cp:lastModifiedBy>
  <dcterms:created xsi:type="dcterms:W3CDTF">2025-06-06T19:44:53Z</dcterms:created>
  <dcterms:modified xsi:type="dcterms:W3CDTF">2026-05-04T19:01:59Z</dcterms:modified>
</cp:coreProperties>
</file>